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el\Documents\G2G_supplyshed\analysis\code\"/>
    </mc:Choice>
  </mc:AlternateContent>
  <xr:revisionPtr revIDLastSave="0" documentId="8_{83A47221-D8FF-4FA4-BA26-2BCB3021978F}" xr6:coauthVersionLast="36" xr6:coauthVersionMax="36" xr10:uidLastSave="{00000000-0000-0000-0000-000000000000}"/>
  <bookViews>
    <workbookView xWindow="0" yWindow="0" windowWidth="17256" windowHeight="4980" activeTab="2"/>
  </bookViews>
  <sheets>
    <sheet name="practHUC12_CostSumBIOno3" sheetId="1" r:id="rId1"/>
    <sheet name="Sheet1" sheetId="2" r:id="rId2"/>
    <sheet name="Sheet2" sheetId="3" r:id="rId3"/>
    <sheet name="Sheet3" sheetId="4" r:id="rId4"/>
  </sheets>
  <calcPr calcId="0"/>
</workbook>
</file>

<file path=xl/calcChain.xml><?xml version="1.0" encoding="utf-8"?>
<calcChain xmlns="http://schemas.openxmlformats.org/spreadsheetml/2006/main">
  <c r="R3" i="3" l="1"/>
  <c r="R4" i="3"/>
  <c r="R5" i="3"/>
  <c r="R7" i="3"/>
  <c r="R8" i="3"/>
  <c r="R9" i="3"/>
  <c r="R10" i="3"/>
  <c r="R16" i="3"/>
  <c r="R17" i="3"/>
  <c r="R6" i="3"/>
  <c r="R18" i="3"/>
  <c r="R11" i="3"/>
  <c r="R12" i="3"/>
  <c r="R13" i="3"/>
  <c r="R14" i="3"/>
  <c r="R15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2" i="3"/>
  <c r="Q6" i="3"/>
  <c r="G21" i="3"/>
  <c r="Q21" i="3" s="1"/>
  <c r="G7" i="3"/>
  <c r="Q7" i="3" s="1"/>
  <c r="G23" i="3"/>
  <c r="Q23" i="3" s="1"/>
  <c r="G24" i="3"/>
  <c r="Q24" i="3" s="1"/>
  <c r="G25" i="3"/>
  <c r="Q25" i="3" s="1"/>
  <c r="G2" i="3"/>
  <c r="Q2" i="3" s="1"/>
  <c r="G27" i="3"/>
  <c r="Q27" i="3" s="1"/>
  <c r="G26" i="3"/>
  <c r="Q26" i="3" s="1"/>
  <c r="G22" i="3"/>
  <c r="Q22" i="3" s="1"/>
  <c r="G28" i="3"/>
  <c r="Q28" i="3" s="1"/>
  <c r="G11" i="3"/>
  <c r="Q11" i="3" s="1"/>
  <c r="G3" i="3"/>
  <c r="Q3" i="3" s="1"/>
  <c r="G4" i="3"/>
  <c r="Q4" i="3" s="1"/>
  <c r="G12" i="3"/>
  <c r="Q12" i="3" s="1"/>
  <c r="G5" i="3"/>
  <c r="Q5" i="3" s="1"/>
  <c r="G8" i="3"/>
  <c r="Q8" i="3" s="1"/>
  <c r="G6" i="3"/>
  <c r="G32" i="3"/>
  <c r="Q32" i="3" s="1"/>
  <c r="G13" i="3"/>
  <c r="Q13" i="3" s="1"/>
  <c r="G14" i="3"/>
  <c r="Q14" i="3" s="1"/>
  <c r="G19" i="3"/>
  <c r="Q19" i="3" s="1"/>
  <c r="G15" i="3"/>
  <c r="Q15" i="3" s="1"/>
  <c r="G29" i="3"/>
  <c r="Q29" i="3" s="1"/>
  <c r="G9" i="3"/>
  <c r="Q9" i="3" s="1"/>
  <c r="G10" i="3"/>
  <c r="Q10" i="3" s="1"/>
  <c r="G33" i="3"/>
  <c r="Q33" i="3" s="1"/>
  <c r="G30" i="3"/>
  <c r="Q30" i="3" s="1"/>
  <c r="G31" i="3"/>
  <c r="Q31" i="3" s="1"/>
  <c r="G16" i="3"/>
  <c r="Q16" i="3" s="1"/>
  <c r="G17" i="3"/>
  <c r="Q17" i="3" s="1"/>
  <c r="G18" i="3"/>
  <c r="Q18" i="3" s="1"/>
  <c r="G34" i="3"/>
  <c r="Q34" i="3" s="1"/>
  <c r="G35" i="3"/>
  <c r="Q35" i="3" s="1"/>
  <c r="G36" i="3"/>
  <c r="Q36" i="3" s="1"/>
  <c r="G37" i="3"/>
  <c r="Q37" i="3" s="1"/>
  <c r="G38" i="3"/>
  <c r="Q38" i="3" s="1"/>
  <c r="G39" i="3"/>
  <c r="Q39" i="3" s="1"/>
  <c r="G40" i="3"/>
  <c r="Q40" i="3" s="1"/>
  <c r="G41" i="3"/>
  <c r="Q41" i="3" s="1"/>
  <c r="G42" i="3"/>
  <c r="Q42" i="3" s="1"/>
  <c r="G43" i="3"/>
  <c r="Q43" i="3" s="1"/>
  <c r="G44" i="3"/>
  <c r="Q44" i="3" s="1"/>
  <c r="G45" i="3"/>
  <c r="Q45" i="3" s="1"/>
  <c r="G46" i="3"/>
  <c r="Q46" i="3" s="1"/>
  <c r="G47" i="3"/>
  <c r="Q47" i="3" s="1"/>
  <c r="G48" i="3"/>
  <c r="Q48" i="3" s="1"/>
  <c r="G49" i="3"/>
  <c r="Q49" i="3" s="1"/>
  <c r="G20" i="3"/>
  <c r="Q20" i="3" s="1"/>
  <c r="AB3" i="1"/>
  <c r="AB4" i="1"/>
  <c r="AB7" i="1"/>
  <c r="AB8" i="1"/>
  <c r="AB9" i="1"/>
  <c r="AB10" i="1"/>
  <c r="AB11" i="1"/>
  <c r="AB12" i="1"/>
  <c r="AB13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2" i="1"/>
  <c r="H3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0" i="1"/>
  <c r="H41" i="1"/>
  <c r="H42" i="1"/>
  <c r="H43" i="1"/>
  <c r="H44" i="1"/>
  <c r="H45" i="1"/>
  <c r="H46" i="1"/>
  <c r="H47" i="1"/>
  <c r="H48" i="1"/>
  <c r="H2" i="1"/>
</calcChain>
</file>

<file path=xl/sharedStrings.xml><?xml version="1.0" encoding="utf-8"?>
<sst xmlns="http://schemas.openxmlformats.org/spreadsheetml/2006/main" count="81" uniqueCount="41">
  <si>
    <t>HUC12</t>
  </si>
  <si>
    <t>sumDC</t>
  </si>
  <si>
    <t>sumOC</t>
  </si>
  <si>
    <t>sumTC</t>
  </si>
  <si>
    <t>sumCO2red</t>
  </si>
  <si>
    <t>sumN2ored</t>
  </si>
  <si>
    <t>sumcpNO3ldRedkg</t>
  </si>
  <si>
    <t>meanDC</t>
  </si>
  <si>
    <t>minDC</t>
  </si>
  <si>
    <t>maxDC</t>
  </si>
  <si>
    <t>meanOC</t>
  </si>
  <si>
    <t>minOC</t>
  </si>
  <si>
    <t>maxOC</t>
  </si>
  <si>
    <t>meanTC</t>
  </si>
  <si>
    <t>minTC</t>
  </si>
  <si>
    <t>maxTC</t>
  </si>
  <si>
    <t>meanDCredNO3</t>
  </si>
  <si>
    <t>minDCredNO3</t>
  </si>
  <si>
    <t>maxDCredNO3</t>
  </si>
  <si>
    <t>meanTCredNO3</t>
  </si>
  <si>
    <t>minTCredNO3</t>
  </si>
  <si>
    <t>maxTCredNO3</t>
  </si>
  <si>
    <t>opAcres</t>
  </si>
  <si>
    <t>n</t>
  </si>
  <si>
    <t>-</t>
  </si>
  <si>
    <t>huc12</t>
  </si>
  <si>
    <t>no3</t>
  </si>
  <si>
    <t>sediment</t>
  </si>
  <si>
    <t>wildlife</t>
  </si>
  <si>
    <t>co2</t>
  </si>
  <si>
    <t>n2o</t>
  </si>
  <si>
    <t>dc</t>
  </si>
  <si>
    <t>tc</t>
  </si>
  <si>
    <t>dcN</t>
  </si>
  <si>
    <t>tcN</t>
  </si>
  <si>
    <t>dcs</t>
  </si>
  <si>
    <t>tcs</t>
  </si>
  <si>
    <t>yield</t>
  </si>
  <si>
    <t>energy</t>
  </si>
  <si>
    <t>traveld</t>
  </si>
  <si>
    <t>travelt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</si>
</sst>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C00000"/>
      </left>
      <right style="medium">
        <color indexed="64"/>
      </right>
      <top style="double">
        <color rgb="FFC00000"/>
      </top>
      <bottom style="double">
        <color rgb="FFC00000"/>
      </bottom>
      <diagonal/>
    </border>
    <border>
      <left/>
      <right style="medium">
        <color indexed="64"/>
      </right>
      <top style="double">
        <color rgb="FFC00000"/>
      </top>
      <bottom style="double">
        <color rgb="FFC00000"/>
      </bottom>
      <diagonal/>
    </border>
    <border>
      <left/>
      <right style="double">
        <color rgb="FFC00000"/>
      </right>
      <top style="double">
        <color rgb="FFC00000"/>
      </top>
      <bottom style="double">
        <color rgb="FFC00000"/>
      </bottom>
      <diagonal/>
    </border>
    <border>
      <left style="double">
        <color rgb="FFC00000"/>
      </left>
      <right/>
      <top style="double">
        <color rgb="FFC00000"/>
      </top>
      <bottom style="double">
        <color rgb="FFC00000"/>
      </bottom>
      <diagonal/>
    </border>
    <border>
      <left/>
      <right/>
      <top style="double">
        <color rgb="FFC00000"/>
      </top>
      <bottom style="double">
        <color rgb="FFC00000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8">
    <xf numFmtId="0" fontId="0" fillId="0" borderId="0" xfId="0"/>
    <xf numFmtId="1" fontId="0" fillId="0" borderId="0" xfId="0" applyNumberFormat="1"/>
    <xf numFmtId="44" fontId="0" fillId="0" borderId="0" xfId="1" applyFont="1"/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3" fontId="19" fillId="33" borderId="13" xfId="0" applyNumberFormat="1" applyFont="1" applyFill="1" applyBorder="1" applyAlignment="1">
      <alignment horizontal="center" vertical="center" wrapText="1"/>
    </xf>
    <xf numFmtId="8" fontId="0" fillId="0" borderId="0" xfId="0" applyNumberFormat="1"/>
    <xf numFmtId="0" fontId="0" fillId="0" borderId="0" xfId="0" applyFill="1"/>
    <xf numFmtId="0" fontId="19" fillId="0" borderId="10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 wrapText="1"/>
    </xf>
    <xf numFmtId="3" fontId="19" fillId="0" borderId="14" xfId="0" applyNumberFormat="1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 wrapText="1"/>
    </xf>
    <xf numFmtId="3" fontId="19" fillId="0" borderId="15" xfId="0" applyNumberFormat="1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6" fontId="19" fillId="0" borderId="15" xfId="0" applyNumberFormat="1" applyFont="1" applyFill="1" applyBorder="1" applyAlignment="1">
      <alignment horizontal="center" vertical="center" wrapText="1"/>
    </xf>
    <xf numFmtId="8" fontId="18" fillId="0" borderId="15" xfId="0" applyNumberFormat="1" applyFont="1" applyFill="1" applyBorder="1" applyAlignment="1">
      <alignment horizontal="center" vertical="center" wrapText="1"/>
    </xf>
    <xf numFmtId="8" fontId="19" fillId="0" borderId="15" xfId="0" applyNumberFormat="1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 wrapText="1"/>
    </xf>
    <xf numFmtId="3" fontId="19" fillId="0" borderId="16" xfId="0" applyNumberFormat="1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6" fontId="19" fillId="0" borderId="16" xfId="0" applyNumberFormat="1" applyFont="1" applyFill="1" applyBorder="1" applyAlignment="1">
      <alignment horizontal="center" vertical="center" wrapText="1"/>
    </xf>
    <xf numFmtId="8" fontId="18" fillId="0" borderId="16" xfId="0" applyNumberFormat="1" applyFont="1" applyFill="1" applyBorder="1" applyAlignment="1">
      <alignment horizontal="center" vertical="center" wrapText="1"/>
    </xf>
    <xf numFmtId="8" fontId="19" fillId="0" borderId="16" xfId="0" applyNumberFormat="1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 wrapText="1"/>
    </xf>
    <xf numFmtId="3" fontId="19" fillId="0" borderId="13" xfId="0" applyNumberFormat="1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6" fontId="19" fillId="0" borderId="13" xfId="0" applyNumberFormat="1" applyFont="1" applyFill="1" applyBorder="1" applyAlignment="1">
      <alignment horizontal="center" vertical="center" wrapText="1"/>
    </xf>
    <xf numFmtId="8" fontId="18" fillId="0" borderId="13" xfId="0" applyNumberFormat="1" applyFont="1" applyFill="1" applyBorder="1" applyAlignment="1">
      <alignment horizontal="center" vertical="center" wrapText="1"/>
    </xf>
    <xf numFmtId="8" fontId="19" fillId="0" borderId="13" xfId="0" applyNumberFormat="1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 vertical="center" wrapText="1"/>
    </xf>
    <xf numFmtId="3" fontId="19" fillId="0" borderId="19" xfId="0" applyNumberFormat="1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6" fontId="19" fillId="0" borderId="19" xfId="0" applyNumberFormat="1" applyFont="1" applyFill="1" applyBorder="1" applyAlignment="1">
      <alignment horizontal="center" vertical="center" wrapText="1"/>
    </xf>
    <xf numFmtId="8" fontId="19" fillId="0" borderId="19" xfId="0" applyNumberFormat="1" applyFont="1" applyFill="1" applyBorder="1" applyAlignment="1">
      <alignment horizontal="center" vertical="center" wrapText="1"/>
    </xf>
    <xf numFmtId="8" fontId="18" fillId="0" borderId="19" xfId="0" applyNumberFormat="1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0" fontId="19" fillId="34" borderId="16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3" fontId="19" fillId="34" borderId="15" xfId="0" applyNumberFormat="1" applyFont="1" applyFill="1" applyBorder="1" applyAlignment="1">
      <alignment horizontal="center" vertical="center" wrapText="1"/>
    </xf>
    <xf numFmtId="3" fontId="19" fillId="34" borderId="16" xfId="0" applyNumberFormat="1" applyFont="1" applyFill="1" applyBorder="1" applyAlignment="1">
      <alignment horizontal="center" vertical="center" wrapText="1"/>
    </xf>
    <xf numFmtId="3" fontId="19" fillId="34" borderId="13" xfId="0" applyNumberFormat="1" applyFont="1" applyFill="1" applyBorder="1" applyAlignment="1">
      <alignment horizontal="center" vertical="center" wrapText="1"/>
    </xf>
    <xf numFmtId="0" fontId="18" fillId="34" borderId="15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3" fontId="19" fillId="34" borderId="14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6" fontId="19" fillId="0" borderId="14" xfId="0" applyNumberFormat="1" applyFont="1" applyFill="1" applyBorder="1" applyAlignment="1">
      <alignment horizontal="center" vertical="center" wrapText="1"/>
    </xf>
    <xf numFmtId="8" fontId="18" fillId="0" borderId="14" xfId="0" applyNumberFormat="1" applyFont="1" applyFill="1" applyBorder="1" applyAlignment="1">
      <alignment horizontal="center" vertical="center" wrapText="1"/>
    </xf>
    <xf numFmtId="8" fontId="19" fillId="0" borderId="14" xfId="0" applyNumberFormat="1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8" fontId="19" fillId="34" borderId="14" xfId="0" applyNumberFormat="1" applyFont="1" applyFill="1" applyBorder="1" applyAlignment="1">
      <alignment horizontal="center" vertical="center" wrapText="1"/>
    </xf>
    <xf numFmtId="8" fontId="18" fillId="34" borderId="15" xfId="0" applyNumberFormat="1" applyFont="1" applyFill="1" applyBorder="1" applyAlignment="1">
      <alignment horizontal="center" vertical="center" wrapText="1"/>
    </xf>
    <xf numFmtId="8" fontId="18" fillId="34" borderId="16" xfId="0" applyNumberFormat="1" applyFont="1" applyFill="1" applyBorder="1" applyAlignment="1">
      <alignment horizontal="center" vertical="center" wrapText="1"/>
    </xf>
    <xf numFmtId="8" fontId="18" fillId="34" borderId="13" xfId="0" applyNumberFormat="1" applyFont="1" applyFill="1" applyBorder="1" applyAlignment="1">
      <alignment horizontal="center" vertical="center" wrapText="1"/>
    </xf>
    <xf numFmtId="8" fontId="18" fillId="34" borderId="14" xfId="0" applyNumberFormat="1" applyFont="1" applyFill="1" applyBorder="1" applyAlignment="1">
      <alignment horizontal="center" vertical="center" wrapText="1"/>
    </xf>
    <xf numFmtId="8" fontId="19" fillId="34" borderId="15" xfId="0" applyNumberFormat="1" applyFont="1" applyFill="1" applyBorder="1" applyAlignment="1">
      <alignment horizontal="center" vertical="center" wrapText="1"/>
    </xf>
    <xf numFmtId="8" fontId="19" fillId="34" borderId="13" xfId="0" applyNumberFormat="1" applyFont="1" applyFill="1" applyBorder="1" applyAlignment="1">
      <alignment horizontal="center" vertical="center" wrapText="1"/>
    </xf>
    <xf numFmtId="8" fontId="18" fillId="34" borderId="19" xfId="0" applyNumberFormat="1" applyFont="1" applyFill="1" applyBorder="1" applyAlignment="1">
      <alignment horizontal="center" vertical="center" wrapText="1"/>
    </xf>
    <xf numFmtId="0" fontId="19" fillId="34" borderId="18" xfId="0" applyFont="1" applyFill="1" applyBorder="1" applyAlignment="1">
      <alignment horizontal="center" vertical="center" wrapText="1"/>
    </xf>
    <xf numFmtId="0" fontId="19" fillId="0" borderId="21" xfId="0" applyFont="1" applyFill="1" applyBorder="1" applyAlignment="1">
      <alignment horizontal="center" vertical="center"/>
    </xf>
    <xf numFmtId="0" fontId="19" fillId="34" borderId="22" xfId="0" applyFont="1" applyFill="1" applyBorder="1" applyAlignment="1">
      <alignment horizontal="center" vertical="center" wrapText="1"/>
    </xf>
    <xf numFmtId="6" fontId="19" fillId="0" borderId="20" xfId="0" applyNumberFormat="1" applyFont="1" applyFill="1" applyBorder="1" applyAlignment="1">
      <alignment horizontal="center" vertical="center" wrapText="1"/>
    </xf>
    <xf numFmtId="6" fontId="19" fillId="0" borderId="22" xfId="0" applyNumberFormat="1" applyFont="1" applyFill="1" applyBorder="1" applyAlignment="1">
      <alignment horizontal="center" vertical="center" wrapText="1"/>
    </xf>
    <xf numFmtId="8" fontId="18" fillId="0" borderId="22" xfId="0" applyNumberFormat="1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center" vertical="center" wrapText="1"/>
    </xf>
    <xf numFmtId="3" fontId="19" fillId="0" borderId="22" xfId="0" applyNumberFormat="1" applyFont="1" applyFill="1" applyBorder="1" applyAlignment="1">
      <alignment horizontal="center" vertical="center" wrapText="1"/>
    </xf>
    <xf numFmtId="8" fontId="18" fillId="34" borderId="22" xfId="0" applyNumberFormat="1" applyFont="1" applyFill="1" applyBorder="1" applyAlignment="1">
      <alignment horizontal="center" vertical="center" wrapText="1"/>
    </xf>
    <xf numFmtId="8" fontId="19" fillId="34" borderId="22" xfId="0" applyNumberFormat="1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/>
    </xf>
    <xf numFmtId="0" fontId="19" fillId="34" borderId="24" xfId="0" applyFont="1" applyFill="1" applyBorder="1" applyAlignment="1">
      <alignment horizontal="center" vertical="center" wrapText="1"/>
    </xf>
    <xf numFmtId="6" fontId="19" fillId="0" borderId="24" xfId="0" applyNumberFormat="1" applyFont="1" applyFill="1" applyBorder="1" applyAlignment="1">
      <alignment horizontal="center" vertical="center" wrapText="1"/>
    </xf>
    <xf numFmtId="8" fontId="18" fillId="34" borderId="24" xfId="0" applyNumberFormat="1" applyFont="1" applyFill="1" applyBorder="1" applyAlignment="1">
      <alignment horizontal="center" vertical="center" wrapText="1"/>
    </xf>
    <xf numFmtId="8" fontId="19" fillId="0" borderId="24" xfId="0" applyNumberFormat="1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 wrapText="1"/>
    </xf>
    <xf numFmtId="0" fontId="19" fillId="0" borderId="25" xfId="0" applyFont="1" applyFill="1" applyBorder="1" applyAlignment="1">
      <alignment horizontal="center" vertical="center" wrapText="1"/>
    </xf>
    <xf numFmtId="3" fontId="19" fillId="0" borderId="24" xfId="0" applyNumberFormat="1" applyFont="1" applyFill="1" applyBorder="1" applyAlignment="1">
      <alignment horizontal="center" vertical="center" wrapText="1"/>
    </xf>
    <xf numFmtId="8" fontId="19" fillId="34" borderId="24" xfId="0" applyNumberFormat="1" applyFont="1" applyFill="1" applyBorder="1" applyAlignment="1">
      <alignment horizontal="center" vertical="center" wrapText="1"/>
    </xf>
    <xf numFmtId="8" fontId="18" fillId="0" borderId="24" xfId="0" applyNumberFormat="1" applyFont="1" applyFill="1" applyBorder="1" applyAlignment="1">
      <alignment horizontal="center" vertical="center" wrapText="1"/>
    </xf>
    <xf numFmtId="0" fontId="19" fillId="0" borderId="26" xfId="0" applyFont="1" applyFill="1" applyBorder="1" applyAlignment="1">
      <alignment horizontal="center" vertical="center"/>
    </xf>
    <xf numFmtId="0" fontId="19" fillId="0" borderId="27" xfId="0" applyFont="1" applyFill="1" applyBorder="1" applyAlignment="1">
      <alignment horizontal="center" vertical="center" wrapText="1"/>
    </xf>
    <xf numFmtId="3" fontId="19" fillId="0" borderId="27" xfId="0" applyNumberFormat="1" applyFont="1" applyFill="1" applyBorder="1" applyAlignment="1">
      <alignment horizontal="center" vertical="center" wrapText="1"/>
    </xf>
    <xf numFmtId="6" fontId="19" fillId="0" borderId="27" xfId="0" applyNumberFormat="1" applyFont="1" applyFill="1" applyBorder="1" applyAlignment="1">
      <alignment horizontal="center" vertical="center" wrapText="1"/>
    </xf>
    <xf numFmtId="3" fontId="19" fillId="34" borderId="24" xfId="0" applyNumberFormat="1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 wrapText="1"/>
    </xf>
    <xf numFmtId="0" fontId="19" fillId="34" borderId="27" xfId="0" applyFont="1" applyFill="1" applyBorder="1" applyAlignment="1">
      <alignment horizontal="center" vertical="center" wrapText="1"/>
    </xf>
    <xf numFmtId="0" fontId="19" fillId="0" borderId="20" xfId="0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 wrapText="1"/>
    </xf>
    <xf numFmtId="0" fontId="18" fillId="0" borderId="27" xfId="0" applyFont="1" applyFill="1" applyBorder="1" applyAlignment="1">
      <alignment horizontal="center" vertical="center" wrapText="1"/>
    </xf>
    <xf numFmtId="8" fontId="18" fillId="0" borderId="27" xfId="0" applyNumberFormat="1" applyFont="1" applyFill="1" applyBorder="1" applyAlignment="1">
      <alignment horizontal="center" vertical="center" wrapText="1"/>
    </xf>
    <xf numFmtId="8" fontId="19" fillId="34" borderId="27" xfId="0" applyNumberFormat="1" applyFont="1" applyFill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workbookViewId="0">
      <selection activeCell="Z10" sqref="Z10"/>
    </sheetView>
  </sheetViews>
  <sheetFormatPr defaultRowHeight="14.4" x14ac:dyDescent="0.3"/>
  <cols>
    <col min="1" max="1" width="12" bestFit="1" customWidth="1"/>
    <col min="2" max="6" width="0" hidden="1" customWidth="1"/>
    <col min="7" max="8" width="16.33203125" hidden="1" customWidth="1"/>
    <col min="9" max="17" width="0" hidden="1" customWidth="1"/>
    <col min="18" max="18" width="14.33203125" bestFit="1" customWidth="1"/>
    <col min="19" max="20" width="0" hidden="1" customWidth="1"/>
    <col min="21" max="21" width="14.109375" bestFit="1" customWidth="1"/>
    <col min="22" max="23" width="0" hidden="1" customWidth="1"/>
  </cols>
  <sheetData>
    <row r="1" spans="1:28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8" ht="15" thickBot="1" x14ac:dyDescent="0.35">
      <c r="A2">
        <v>70600060901</v>
      </c>
      <c r="B2">
        <v>150075.08541589999</v>
      </c>
      <c r="C2">
        <v>102763.8849645</v>
      </c>
      <c r="D2">
        <v>206235.32019930001</v>
      </c>
      <c r="E2">
        <v>344.554438721</v>
      </c>
      <c r="F2">
        <v>10638.786962032</v>
      </c>
      <c r="G2">
        <v>9114.1771297375999</v>
      </c>
      <c r="H2" s="1">
        <f>0.001*G2</f>
        <v>9.1141771297376</v>
      </c>
      <c r="I2">
        <v>4288</v>
      </c>
      <c r="J2">
        <v>292</v>
      </c>
      <c r="K2">
        <v>33773</v>
      </c>
      <c r="L2">
        <v>2936</v>
      </c>
      <c r="M2">
        <v>212</v>
      </c>
      <c r="N2">
        <v>13008</v>
      </c>
      <c r="O2">
        <v>5892</v>
      </c>
      <c r="P2">
        <v>505</v>
      </c>
      <c r="Q2">
        <v>35301</v>
      </c>
      <c r="R2" s="2">
        <v>21.0258401809742</v>
      </c>
      <c r="S2" s="2">
        <v>3.8446693645528298</v>
      </c>
      <c r="T2" s="2">
        <v>53.610676190013201</v>
      </c>
      <c r="U2" s="2">
        <v>25.780611525031599</v>
      </c>
      <c r="V2">
        <v>6.2607895811838201</v>
      </c>
      <c r="W2">
        <v>53.610676190013201</v>
      </c>
      <c r="X2">
        <v>271.36632368363098</v>
      </c>
      <c r="Y2">
        <v>35</v>
      </c>
      <c r="AA2" s="3">
        <v>128</v>
      </c>
      <c r="AB2" s="1">
        <f>AA2*0.404686</f>
        <v>51.799807999999999</v>
      </c>
    </row>
    <row r="3" spans="1:28" ht="15" thickBot="1" x14ac:dyDescent="0.35">
      <c r="A3">
        <v>70600061002</v>
      </c>
      <c r="B3">
        <v>181631.67994100001</v>
      </c>
      <c r="C3">
        <v>167474.32441160001</v>
      </c>
      <c r="D3">
        <v>235297.86476699999</v>
      </c>
      <c r="E3">
        <v>424.869559057</v>
      </c>
      <c r="F3">
        <v>18572.218824889998</v>
      </c>
      <c r="G3">
        <v>7930.0326171442102</v>
      </c>
      <c r="H3" s="1">
        <f t="shared" ref="H3:H48" si="0">0.001*G3</f>
        <v>7.9300326171442101</v>
      </c>
      <c r="I3">
        <v>6263</v>
      </c>
      <c r="J3">
        <v>541</v>
      </c>
      <c r="K3">
        <v>20231</v>
      </c>
      <c r="L3">
        <v>5775</v>
      </c>
      <c r="M3">
        <v>612</v>
      </c>
      <c r="N3">
        <v>32587</v>
      </c>
      <c r="O3">
        <v>8114</v>
      </c>
      <c r="P3">
        <v>1295</v>
      </c>
      <c r="Q3">
        <v>39778</v>
      </c>
      <c r="R3" s="2">
        <v>26.767442404102798</v>
      </c>
      <c r="S3" s="2">
        <v>3.8709063136239901</v>
      </c>
      <c r="T3" s="2">
        <v>53.605492863801402</v>
      </c>
      <c r="U3" s="2">
        <v>31.108243292187801</v>
      </c>
      <c r="V3">
        <v>8.4320464877397097</v>
      </c>
      <c r="W3">
        <v>53.605492863801402</v>
      </c>
      <c r="X3">
        <v>408.90853252043701</v>
      </c>
      <c r="Y3">
        <v>29</v>
      </c>
      <c r="AA3" s="4">
        <v>33</v>
      </c>
      <c r="AB3" s="1">
        <f t="shared" ref="AB3:AB49" si="1">AA3*0.404686</f>
        <v>13.354638</v>
      </c>
    </row>
    <row r="4" spans="1:28" ht="15" thickBot="1" x14ac:dyDescent="0.35">
      <c r="A4">
        <v>70801010301</v>
      </c>
      <c r="B4">
        <v>1900933.5285332999</v>
      </c>
      <c r="C4">
        <v>1971594.8417754001</v>
      </c>
      <c r="D4">
        <v>2484304.7646448999</v>
      </c>
      <c r="E4">
        <v>3013.3561242239998</v>
      </c>
      <c r="F4">
        <v>142832.41408261101</v>
      </c>
      <c r="G4">
        <v>77575.405534051606</v>
      </c>
      <c r="H4" s="1">
        <f t="shared" si="0"/>
        <v>77.575405534051612</v>
      </c>
      <c r="I4">
        <v>8449</v>
      </c>
      <c r="J4">
        <v>330</v>
      </c>
      <c r="K4">
        <v>63248</v>
      </c>
      <c r="L4">
        <v>8763</v>
      </c>
      <c r="M4">
        <v>329</v>
      </c>
      <c r="N4">
        <v>75520</v>
      </c>
      <c r="O4">
        <v>11041</v>
      </c>
      <c r="P4">
        <v>731</v>
      </c>
      <c r="Q4">
        <v>102585</v>
      </c>
      <c r="R4" s="2">
        <v>30.3923005408728</v>
      </c>
      <c r="S4" s="2">
        <v>1.15822211564879</v>
      </c>
      <c r="T4" s="2">
        <v>53.610246991333</v>
      </c>
      <c r="U4" s="2">
        <v>35.4747241306587</v>
      </c>
      <c r="V4">
        <v>1.65625696998364</v>
      </c>
      <c r="W4">
        <v>53.610246991333</v>
      </c>
      <c r="X4">
        <v>3116.6068006077599</v>
      </c>
      <c r="Y4">
        <v>225</v>
      </c>
      <c r="AA4" s="4">
        <v>647</v>
      </c>
      <c r="AB4" s="1">
        <f t="shared" si="1"/>
        <v>261.83184199999999</v>
      </c>
    </row>
    <row r="5" spans="1:28" ht="15" thickBot="1" x14ac:dyDescent="0.35">
      <c r="A5">
        <v>70801010302</v>
      </c>
      <c r="B5">
        <v>223733.36884720001</v>
      </c>
      <c r="C5">
        <v>269658.06847300002</v>
      </c>
      <c r="D5">
        <v>345205.87384499999</v>
      </c>
      <c r="E5">
        <v>365.20109270799998</v>
      </c>
      <c r="F5">
        <v>17641.627502856001</v>
      </c>
      <c r="G5">
        <v>10809.479033232999</v>
      </c>
      <c r="H5" s="1">
        <f t="shared" si="0"/>
        <v>10.809479033233</v>
      </c>
      <c r="I5">
        <v>9728</v>
      </c>
      <c r="J5">
        <v>543</v>
      </c>
      <c r="K5">
        <v>58043</v>
      </c>
      <c r="L5">
        <v>11724</v>
      </c>
      <c r="M5">
        <v>1503</v>
      </c>
      <c r="N5">
        <v>43069</v>
      </c>
      <c r="O5">
        <v>15009</v>
      </c>
      <c r="P5">
        <v>769</v>
      </c>
      <c r="Q5">
        <v>62156</v>
      </c>
      <c r="R5" s="2">
        <v>28.622301955315798</v>
      </c>
      <c r="S5" s="2">
        <v>1.1857074515344901</v>
      </c>
      <c r="T5" s="2">
        <v>53.606238676092303</v>
      </c>
      <c r="U5" s="2">
        <v>37.288650731993599</v>
      </c>
      <c r="V5">
        <v>1.6777760399322501</v>
      </c>
      <c r="W5">
        <v>53.606238676092303</v>
      </c>
      <c r="X5">
        <v>381.84478855533598</v>
      </c>
      <c r="Y5">
        <v>23</v>
      </c>
      <c r="AA5" s="4" t="s">
        <v>24</v>
      </c>
    </row>
    <row r="6" spans="1:28" ht="15" thickBot="1" x14ac:dyDescent="0.35">
      <c r="A6">
        <v>70801010403</v>
      </c>
      <c r="B6">
        <v>397922.469484</v>
      </c>
      <c r="C6">
        <v>504774.5347283</v>
      </c>
      <c r="D6">
        <v>673095.50881999999</v>
      </c>
      <c r="E6">
        <v>727.41292903099998</v>
      </c>
      <c r="F6">
        <v>32333.819198460002</v>
      </c>
      <c r="G6">
        <v>22645.772844082901</v>
      </c>
      <c r="H6" s="1">
        <f t="shared" si="0"/>
        <v>22.645772844082902</v>
      </c>
      <c r="I6">
        <v>12058</v>
      </c>
      <c r="J6">
        <v>628</v>
      </c>
      <c r="K6">
        <v>68382</v>
      </c>
      <c r="L6">
        <v>15296</v>
      </c>
      <c r="M6">
        <v>725</v>
      </c>
      <c r="N6">
        <v>74236</v>
      </c>
      <c r="O6">
        <v>20397</v>
      </c>
      <c r="P6">
        <v>1535</v>
      </c>
      <c r="Q6">
        <v>114450</v>
      </c>
      <c r="R6" s="2">
        <v>23.545214567417698</v>
      </c>
      <c r="S6" s="2">
        <v>3.2983914961985001</v>
      </c>
      <c r="T6" s="2">
        <v>53.606277104821103</v>
      </c>
      <c r="U6" s="2">
        <v>31.0164852392192</v>
      </c>
      <c r="V6">
        <v>7.4440325713491102</v>
      </c>
      <c r="W6">
        <v>53.606277104821103</v>
      </c>
      <c r="X6">
        <v>717.38678175713005</v>
      </c>
      <c r="Y6">
        <v>33</v>
      </c>
      <c r="AA6" s="4" t="s">
        <v>24</v>
      </c>
    </row>
    <row r="7" spans="1:28" ht="15" thickBot="1" x14ac:dyDescent="0.35">
      <c r="A7">
        <v>70801010405</v>
      </c>
      <c r="B7">
        <v>601648.95725710003</v>
      </c>
      <c r="C7">
        <v>782444.34567339998</v>
      </c>
      <c r="D7">
        <v>811821.13020010001</v>
      </c>
      <c r="E7">
        <v>1109.766786531</v>
      </c>
      <c r="F7">
        <v>52818.673626577001</v>
      </c>
      <c r="G7">
        <v>23091.220626829599</v>
      </c>
      <c r="H7" s="1">
        <f t="shared" si="0"/>
        <v>23.0912206268296</v>
      </c>
      <c r="I7">
        <v>7249</v>
      </c>
      <c r="J7">
        <v>194</v>
      </c>
      <c r="K7">
        <v>47814</v>
      </c>
      <c r="L7">
        <v>9427</v>
      </c>
      <c r="M7">
        <v>362</v>
      </c>
      <c r="N7">
        <v>60602</v>
      </c>
      <c r="O7">
        <v>9781</v>
      </c>
      <c r="P7">
        <v>556</v>
      </c>
      <c r="Q7">
        <v>50753</v>
      </c>
      <c r="R7" s="2">
        <v>28.381595167570101</v>
      </c>
      <c r="S7" s="2">
        <v>3.25256790437391</v>
      </c>
      <c r="T7" s="2">
        <v>53.606646252555599</v>
      </c>
      <c r="U7" s="2">
        <v>35.111702761545999</v>
      </c>
      <c r="V7">
        <v>7.9859779122407204</v>
      </c>
      <c r="W7">
        <v>53.606646252555599</v>
      </c>
      <c r="X7">
        <v>1140.2560122581499</v>
      </c>
      <c r="Y7">
        <v>83</v>
      </c>
      <c r="AA7" s="4">
        <v>79</v>
      </c>
      <c r="AB7" s="1">
        <f t="shared" si="1"/>
        <v>31.970193999999999</v>
      </c>
    </row>
    <row r="8" spans="1:28" ht="15" thickBot="1" x14ac:dyDescent="0.35">
      <c r="A8">
        <v>70801010601</v>
      </c>
      <c r="B8">
        <v>325952.68140539998</v>
      </c>
      <c r="C8">
        <v>373731.3149159</v>
      </c>
      <c r="D8">
        <v>502043.10442799999</v>
      </c>
      <c r="E8">
        <v>601.08565426899997</v>
      </c>
      <c r="F8">
        <v>30180.340134828999</v>
      </c>
      <c r="G8">
        <v>13329.8303477107</v>
      </c>
      <c r="H8" s="1">
        <f t="shared" si="0"/>
        <v>13.329830347710701</v>
      </c>
      <c r="I8">
        <v>5343</v>
      </c>
      <c r="J8">
        <v>315</v>
      </c>
      <c r="K8">
        <v>23521</v>
      </c>
      <c r="L8">
        <v>6127</v>
      </c>
      <c r="M8">
        <v>257</v>
      </c>
      <c r="N8">
        <v>29507</v>
      </c>
      <c r="O8">
        <v>8230</v>
      </c>
      <c r="P8">
        <v>724</v>
      </c>
      <c r="Q8">
        <v>45663</v>
      </c>
      <c r="R8" s="2">
        <v>32.050110816484498</v>
      </c>
      <c r="S8" s="2">
        <v>3.7104814055523798</v>
      </c>
      <c r="T8" s="2">
        <v>53.610349469069099</v>
      </c>
      <c r="U8" s="2">
        <v>39.865466327773099</v>
      </c>
      <c r="V8">
        <v>8.4469332356917697</v>
      </c>
      <c r="W8">
        <v>53.610349469069099</v>
      </c>
      <c r="X8">
        <v>639.75699031317697</v>
      </c>
      <c r="Y8">
        <v>61</v>
      </c>
      <c r="AA8" s="5">
        <v>172</v>
      </c>
      <c r="AB8" s="1">
        <f t="shared" si="1"/>
        <v>69.605992000000001</v>
      </c>
    </row>
    <row r="9" spans="1:28" ht="15.6" thickTop="1" thickBot="1" x14ac:dyDescent="0.35">
      <c r="A9">
        <v>70801010602</v>
      </c>
      <c r="B9">
        <v>1430865.8414652001</v>
      </c>
      <c r="C9">
        <v>1591862.8964527</v>
      </c>
      <c r="D9">
        <v>1955820.4561441001</v>
      </c>
      <c r="E9">
        <v>2559.7565441390002</v>
      </c>
      <c r="F9">
        <v>128355.06014384099</v>
      </c>
      <c r="G9">
        <v>53496.997205899701</v>
      </c>
      <c r="H9" s="1">
        <f t="shared" si="0"/>
        <v>53.496997205899703</v>
      </c>
      <c r="I9">
        <v>7531</v>
      </c>
      <c r="J9">
        <v>371</v>
      </c>
      <c r="K9">
        <v>58309</v>
      </c>
      <c r="L9">
        <v>8378</v>
      </c>
      <c r="M9">
        <v>240</v>
      </c>
      <c r="N9">
        <v>52897</v>
      </c>
      <c r="O9">
        <v>10294</v>
      </c>
      <c r="P9">
        <v>755</v>
      </c>
      <c r="Q9">
        <v>86566</v>
      </c>
      <c r="R9" s="2">
        <v>33.299369097844099</v>
      </c>
      <c r="S9" s="2">
        <v>3.2039632003201</v>
      </c>
      <c r="T9" s="2">
        <v>53.6078565939372</v>
      </c>
      <c r="U9" s="2">
        <v>38.891723329262902</v>
      </c>
      <c r="V9">
        <v>3.3641614285681198</v>
      </c>
      <c r="W9">
        <v>54.605045642034398</v>
      </c>
      <c r="X9">
        <v>2725.0338509138001</v>
      </c>
      <c r="Y9">
        <v>190</v>
      </c>
      <c r="AA9" s="6">
        <v>981</v>
      </c>
      <c r="AB9" s="1">
        <f t="shared" si="1"/>
        <v>396.99696599999999</v>
      </c>
    </row>
    <row r="10" spans="1:28" ht="15.6" thickTop="1" thickBot="1" x14ac:dyDescent="0.35">
      <c r="A10">
        <v>70801010603</v>
      </c>
      <c r="B10">
        <v>167379.56363290001</v>
      </c>
      <c r="C10">
        <v>204544.7097482</v>
      </c>
      <c r="D10">
        <v>227111.20409740001</v>
      </c>
      <c r="E10">
        <v>353.05900193799999</v>
      </c>
      <c r="F10">
        <v>17838.011556778001</v>
      </c>
      <c r="G10">
        <v>5851.2637423814203</v>
      </c>
      <c r="H10" s="1">
        <f t="shared" si="0"/>
        <v>5.8512637423814207</v>
      </c>
      <c r="I10">
        <v>4923</v>
      </c>
      <c r="J10">
        <v>399</v>
      </c>
      <c r="K10">
        <v>17179</v>
      </c>
      <c r="L10">
        <v>6016</v>
      </c>
      <c r="M10">
        <v>510</v>
      </c>
      <c r="N10">
        <v>17669</v>
      </c>
      <c r="O10">
        <v>6680</v>
      </c>
      <c r="P10">
        <v>909</v>
      </c>
      <c r="Q10">
        <v>28149</v>
      </c>
      <c r="R10" s="2">
        <v>34.178657911727903</v>
      </c>
      <c r="S10" s="2">
        <v>3.8939882935613799</v>
      </c>
      <c r="T10" s="2">
        <v>53.609952287444798</v>
      </c>
      <c r="U10" s="2">
        <v>39.768585426822703</v>
      </c>
      <c r="V10">
        <v>8.8646873464079103</v>
      </c>
      <c r="W10">
        <v>53.609952287444798</v>
      </c>
      <c r="X10">
        <v>374.50027851291401</v>
      </c>
      <c r="Y10">
        <v>34</v>
      </c>
      <c r="AA10" s="4">
        <v>209</v>
      </c>
      <c r="AB10" s="1">
        <f t="shared" si="1"/>
        <v>84.579374000000001</v>
      </c>
    </row>
    <row r="11" spans="1:28" ht="15" thickBot="1" x14ac:dyDescent="0.35">
      <c r="A11">
        <v>70801010604</v>
      </c>
      <c r="B11">
        <v>577385.83091270004</v>
      </c>
      <c r="C11">
        <v>647774.33429599996</v>
      </c>
      <c r="D11">
        <v>802507.63090989995</v>
      </c>
      <c r="E11">
        <v>959.58299662100001</v>
      </c>
      <c r="F11">
        <v>49930.402208788</v>
      </c>
      <c r="G11">
        <v>21488.4757727898</v>
      </c>
      <c r="H11" s="1">
        <f t="shared" si="0"/>
        <v>21.488475772789801</v>
      </c>
      <c r="I11">
        <v>8368</v>
      </c>
      <c r="J11">
        <v>307</v>
      </c>
      <c r="K11">
        <v>46986</v>
      </c>
      <c r="L11">
        <v>9388</v>
      </c>
      <c r="M11">
        <v>281</v>
      </c>
      <c r="N11">
        <v>32202</v>
      </c>
      <c r="O11">
        <v>11631</v>
      </c>
      <c r="P11">
        <v>647</v>
      </c>
      <c r="Q11">
        <v>53498</v>
      </c>
      <c r="R11" s="2">
        <v>34.361550668172796</v>
      </c>
      <c r="S11" s="2">
        <v>2.95654931819919</v>
      </c>
      <c r="T11" s="2">
        <v>58.490766743051701</v>
      </c>
      <c r="U11" s="2">
        <v>40.706258532005101</v>
      </c>
      <c r="V11">
        <v>7.54347499717153</v>
      </c>
      <c r="W11">
        <v>58.490766743051701</v>
      </c>
      <c r="X11">
        <v>1050.9725901536301</v>
      </c>
      <c r="Y11">
        <v>69</v>
      </c>
      <c r="AA11" s="4">
        <v>199</v>
      </c>
      <c r="AB11" s="1">
        <f t="shared" si="1"/>
        <v>80.532513999999992</v>
      </c>
    </row>
    <row r="12" spans="1:28" ht="15" thickBot="1" x14ac:dyDescent="0.35">
      <c r="A12">
        <v>70801010605</v>
      </c>
      <c r="B12">
        <v>391582.41032939998</v>
      </c>
      <c r="C12">
        <v>453648.34363830002</v>
      </c>
      <c r="D12">
        <v>561214.36815470003</v>
      </c>
      <c r="E12">
        <v>816.57757565600002</v>
      </c>
      <c r="F12">
        <v>38916.631609376003</v>
      </c>
      <c r="G12">
        <v>16631.470186478899</v>
      </c>
      <c r="H12" s="1">
        <f t="shared" si="0"/>
        <v>16.6314701864789</v>
      </c>
      <c r="I12">
        <v>4553</v>
      </c>
      <c r="J12">
        <v>316</v>
      </c>
      <c r="K12">
        <v>25361</v>
      </c>
      <c r="L12">
        <v>5275</v>
      </c>
      <c r="M12">
        <v>415</v>
      </c>
      <c r="N12">
        <v>39345</v>
      </c>
      <c r="O12">
        <v>6526</v>
      </c>
      <c r="P12">
        <v>731</v>
      </c>
      <c r="Q12">
        <v>64706</v>
      </c>
      <c r="R12" s="2">
        <v>31.312283676610399</v>
      </c>
      <c r="S12" s="2">
        <v>3.5679111714989702</v>
      </c>
      <c r="T12" s="2">
        <v>53.612609046608902</v>
      </c>
      <c r="U12" s="2">
        <v>36.513079009012898</v>
      </c>
      <c r="V12">
        <v>7.7719993066017903</v>
      </c>
      <c r="W12">
        <v>53.612609046608902</v>
      </c>
      <c r="X12">
        <v>834.78206215605303</v>
      </c>
      <c r="Y12">
        <v>86</v>
      </c>
      <c r="AA12" s="4">
        <v>417</v>
      </c>
      <c r="AB12" s="1">
        <f t="shared" si="1"/>
        <v>168.754062</v>
      </c>
    </row>
    <row r="13" spans="1:28" ht="15" thickBot="1" x14ac:dyDescent="0.35">
      <c r="A13">
        <v>70801030202</v>
      </c>
      <c r="B13">
        <v>2323491.1711766999</v>
      </c>
      <c r="C13">
        <v>2199052.7744304999</v>
      </c>
      <c r="D13">
        <v>2793685.4538512002</v>
      </c>
      <c r="E13">
        <v>2859.9819668919999</v>
      </c>
      <c r="F13">
        <v>146986.378738175</v>
      </c>
      <c r="G13">
        <v>84460.018037279995</v>
      </c>
      <c r="H13" s="1">
        <f t="shared" si="0"/>
        <v>84.460018037279994</v>
      </c>
      <c r="I13">
        <v>18440</v>
      </c>
      <c r="J13">
        <v>449</v>
      </c>
      <c r="K13">
        <v>182095</v>
      </c>
      <c r="L13">
        <v>17453</v>
      </c>
      <c r="M13">
        <v>503</v>
      </c>
      <c r="N13">
        <v>82047</v>
      </c>
      <c r="O13">
        <v>22172</v>
      </c>
      <c r="P13">
        <v>666</v>
      </c>
      <c r="Q13">
        <v>192668</v>
      </c>
      <c r="R13" s="2">
        <v>34.213618868250101</v>
      </c>
      <c r="S13" s="2">
        <v>0.48342742025431001</v>
      </c>
      <c r="T13" s="2">
        <v>53.607359561920198</v>
      </c>
      <c r="U13" s="2">
        <v>38.378950541708797</v>
      </c>
      <c r="V13">
        <v>0.66712983886056798</v>
      </c>
      <c r="W13">
        <v>53.607359561920198</v>
      </c>
      <c r="X13">
        <v>3168.6215862519002</v>
      </c>
      <c r="Y13">
        <v>126</v>
      </c>
      <c r="AA13" s="4">
        <v>622</v>
      </c>
      <c r="AB13" s="1">
        <f t="shared" si="1"/>
        <v>251.71469199999999</v>
      </c>
    </row>
    <row r="14" spans="1:28" ht="15" thickBot="1" x14ac:dyDescent="0.35">
      <c r="A14">
        <v>70801030301</v>
      </c>
      <c r="B14">
        <v>3365825.0669135</v>
      </c>
      <c r="C14">
        <v>3334940.8798826002</v>
      </c>
      <c r="D14">
        <v>5106934.0326095996</v>
      </c>
      <c r="E14">
        <v>4014.4823467179999</v>
      </c>
      <c r="F14">
        <v>215219.09670929</v>
      </c>
      <c r="G14">
        <v>143849.01878063299</v>
      </c>
      <c r="H14" s="1">
        <f t="shared" si="0"/>
        <v>143.849018780633</v>
      </c>
      <c r="I14">
        <v>15511</v>
      </c>
      <c r="J14">
        <v>254</v>
      </c>
      <c r="K14">
        <v>98132</v>
      </c>
      <c r="L14">
        <v>15368</v>
      </c>
      <c r="M14">
        <v>359</v>
      </c>
      <c r="N14">
        <v>98380</v>
      </c>
      <c r="O14">
        <v>23534</v>
      </c>
      <c r="P14">
        <v>254</v>
      </c>
      <c r="Q14">
        <v>151112</v>
      </c>
      <c r="R14" s="2">
        <v>29.9136284577196</v>
      </c>
      <c r="S14" s="2">
        <v>0.44661472036396599</v>
      </c>
      <c r="T14" s="2">
        <v>78.974719995178404</v>
      </c>
      <c r="U14" s="2">
        <v>39.772091271515102</v>
      </c>
      <c r="V14">
        <v>0.60292978193916702</v>
      </c>
      <c r="W14">
        <v>84.234463916809901</v>
      </c>
      <c r="X14">
        <v>4588.3903765883897</v>
      </c>
      <c r="Y14">
        <v>217</v>
      </c>
      <c r="AA14" s="5" t="s">
        <v>24</v>
      </c>
    </row>
    <row r="15" spans="1:28" ht="15.6" thickTop="1" thickBot="1" x14ac:dyDescent="0.35">
      <c r="A15">
        <v>70801030302</v>
      </c>
      <c r="B15">
        <v>1257688.8071403999</v>
      </c>
      <c r="C15">
        <v>1314365.2512644001</v>
      </c>
      <c r="D15">
        <v>1706513.0969242</v>
      </c>
      <c r="E15">
        <v>1789.872045333</v>
      </c>
      <c r="F15">
        <v>88678.751918655995</v>
      </c>
      <c r="G15">
        <v>51078.129297230997</v>
      </c>
      <c r="H15" s="1">
        <f t="shared" si="0"/>
        <v>51.078129297230994</v>
      </c>
      <c r="I15">
        <v>11538</v>
      </c>
      <c r="J15">
        <v>378</v>
      </c>
      <c r="K15">
        <v>75455</v>
      </c>
      <c r="L15">
        <v>12058</v>
      </c>
      <c r="M15">
        <v>416</v>
      </c>
      <c r="N15">
        <v>52782</v>
      </c>
      <c r="O15">
        <v>15656</v>
      </c>
      <c r="P15">
        <v>794</v>
      </c>
      <c r="Q15">
        <v>80996</v>
      </c>
      <c r="R15" s="2">
        <v>30.089942035508098</v>
      </c>
      <c r="S15" s="2">
        <v>0.54267801783760805</v>
      </c>
      <c r="T15" s="2">
        <v>53.608116685463102</v>
      </c>
      <c r="U15" s="2">
        <v>36.810046313242196</v>
      </c>
      <c r="V15">
        <v>0.73261521585499501</v>
      </c>
      <c r="W15">
        <v>57.044617451436601</v>
      </c>
      <c r="X15">
        <v>1918.1975991314901</v>
      </c>
      <c r="Y15">
        <v>109</v>
      </c>
      <c r="AA15" s="7">
        <v>682</v>
      </c>
      <c r="AB15" s="1">
        <f t="shared" si="1"/>
        <v>275.99585200000001</v>
      </c>
    </row>
    <row r="16" spans="1:28" ht="15.6" thickTop="1" thickBot="1" x14ac:dyDescent="0.35">
      <c r="A16">
        <v>70801030303</v>
      </c>
      <c r="B16">
        <v>3884677.4581419001</v>
      </c>
      <c r="C16">
        <v>3930038.1701035001</v>
      </c>
      <c r="D16">
        <v>5110721.2913964996</v>
      </c>
      <c r="E16">
        <v>5448.1128258879999</v>
      </c>
      <c r="F16">
        <v>261380.07915111</v>
      </c>
      <c r="G16">
        <v>160034.23473009901</v>
      </c>
      <c r="H16" s="1">
        <f t="shared" si="0"/>
        <v>160.034234730099</v>
      </c>
      <c r="I16">
        <v>11631</v>
      </c>
      <c r="J16">
        <v>262</v>
      </c>
      <c r="K16">
        <v>167122</v>
      </c>
      <c r="L16">
        <v>11767</v>
      </c>
      <c r="M16">
        <v>314</v>
      </c>
      <c r="N16">
        <v>73207</v>
      </c>
      <c r="O16">
        <v>15302</v>
      </c>
      <c r="P16">
        <v>599</v>
      </c>
      <c r="Q16">
        <v>178682</v>
      </c>
      <c r="R16" s="2">
        <v>29.395401231531199</v>
      </c>
      <c r="S16" s="2">
        <v>0.54012738532856397</v>
      </c>
      <c r="T16" s="2">
        <v>58.491487821428599</v>
      </c>
      <c r="U16" s="2">
        <v>35.7478038440359</v>
      </c>
      <c r="V16">
        <v>0.772382148842918</v>
      </c>
      <c r="W16">
        <v>75.484385245341301</v>
      </c>
      <c r="X16">
        <v>5725.81299518793</v>
      </c>
      <c r="Y16">
        <v>334</v>
      </c>
      <c r="AA16" s="5">
        <v>93</v>
      </c>
      <c r="AB16" s="1">
        <f t="shared" si="1"/>
        <v>37.635798000000001</v>
      </c>
    </row>
    <row r="17" spans="1:28" ht="15.6" thickTop="1" thickBot="1" x14ac:dyDescent="0.35">
      <c r="A17">
        <v>70801030401</v>
      </c>
      <c r="B17">
        <v>1874418.1327569999</v>
      </c>
      <c r="C17">
        <v>1967307.0512906001</v>
      </c>
      <c r="D17">
        <v>2287802.8559190999</v>
      </c>
      <c r="E17">
        <v>2992.4635212650001</v>
      </c>
      <c r="F17">
        <v>148158.40736916999</v>
      </c>
      <c r="G17">
        <v>67505.001222699895</v>
      </c>
      <c r="H17" s="1">
        <f t="shared" si="0"/>
        <v>67.505001222699903</v>
      </c>
      <c r="I17">
        <v>14644</v>
      </c>
      <c r="J17">
        <v>558</v>
      </c>
      <c r="K17">
        <v>164259</v>
      </c>
      <c r="L17">
        <v>15370</v>
      </c>
      <c r="M17">
        <v>252</v>
      </c>
      <c r="N17">
        <v>60634</v>
      </c>
      <c r="O17">
        <v>17873</v>
      </c>
      <c r="P17">
        <v>810</v>
      </c>
      <c r="Q17">
        <v>175760</v>
      </c>
      <c r="R17" s="2">
        <v>33.021582140667803</v>
      </c>
      <c r="S17" s="2">
        <v>3.9139963603488002</v>
      </c>
      <c r="T17" s="2">
        <v>53.609296398352001</v>
      </c>
      <c r="U17" s="2">
        <v>37.499661927401199</v>
      </c>
      <c r="V17">
        <v>7.3720468492666402</v>
      </c>
      <c r="W17">
        <v>53.609296398352001</v>
      </c>
      <c r="X17">
        <v>3179.9560882053302</v>
      </c>
      <c r="Y17">
        <v>128</v>
      </c>
      <c r="AA17" s="8">
        <v>1057</v>
      </c>
      <c r="AB17" s="1">
        <f t="shared" si="1"/>
        <v>427.75310200000001</v>
      </c>
    </row>
    <row r="18" spans="1:28" ht="15.6" thickTop="1" thickBot="1" x14ac:dyDescent="0.35">
      <c r="A18">
        <v>70801030402</v>
      </c>
      <c r="B18">
        <v>706136.03227129998</v>
      </c>
      <c r="C18">
        <v>823133.65191290004</v>
      </c>
      <c r="D18">
        <v>1152056.4041424999</v>
      </c>
      <c r="E18">
        <v>1513.42885675</v>
      </c>
      <c r="F18">
        <v>61022.684427091001</v>
      </c>
      <c r="G18">
        <v>39143.756198625502</v>
      </c>
      <c r="H18" s="1">
        <f t="shared" si="0"/>
        <v>39.143756198625503</v>
      </c>
      <c r="I18">
        <v>6035</v>
      </c>
      <c r="J18">
        <v>327</v>
      </c>
      <c r="K18">
        <v>39371</v>
      </c>
      <c r="L18">
        <v>7035</v>
      </c>
      <c r="M18">
        <v>397</v>
      </c>
      <c r="N18">
        <v>40707</v>
      </c>
      <c r="O18">
        <v>9847</v>
      </c>
      <c r="P18">
        <v>791</v>
      </c>
      <c r="Q18">
        <v>65681</v>
      </c>
      <c r="R18" s="2">
        <v>22.341020131905299</v>
      </c>
      <c r="S18" s="2">
        <v>0.52478253268376496</v>
      </c>
      <c r="T18" s="2">
        <v>53.606885590853402</v>
      </c>
      <c r="U18" s="2">
        <v>31.255924928827</v>
      </c>
      <c r="V18">
        <v>0.72944773237681504</v>
      </c>
      <c r="W18">
        <v>53.606885590853402</v>
      </c>
      <c r="X18">
        <v>1393.8802028406301</v>
      </c>
      <c r="Y18">
        <v>117</v>
      </c>
      <c r="AA18" s="7">
        <v>741</v>
      </c>
      <c r="AB18" s="1">
        <f t="shared" si="1"/>
        <v>299.87232599999999</v>
      </c>
    </row>
    <row r="19" spans="1:28" ht="15.6" thickTop="1" thickBot="1" x14ac:dyDescent="0.35">
      <c r="A19">
        <v>70801030403</v>
      </c>
      <c r="B19">
        <v>1047775.4563861</v>
      </c>
      <c r="C19">
        <v>1031691.1629228001</v>
      </c>
      <c r="D19">
        <v>1352648.7590042001</v>
      </c>
      <c r="E19">
        <v>1811.672751245</v>
      </c>
      <c r="F19">
        <v>79514.420151783997</v>
      </c>
      <c r="G19">
        <v>45728.265446273203</v>
      </c>
      <c r="H19" s="1">
        <f t="shared" si="0"/>
        <v>45.728265446273205</v>
      </c>
      <c r="I19">
        <v>9979</v>
      </c>
      <c r="J19">
        <v>432</v>
      </c>
      <c r="K19">
        <v>104049</v>
      </c>
      <c r="L19">
        <v>9826</v>
      </c>
      <c r="M19">
        <v>327</v>
      </c>
      <c r="N19">
        <v>46379</v>
      </c>
      <c r="O19">
        <v>12882</v>
      </c>
      <c r="P19">
        <v>759</v>
      </c>
      <c r="Q19">
        <v>111067</v>
      </c>
      <c r="R19" s="2">
        <v>24.981053430378601</v>
      </c>
      <c r="S19" s="2">
        <v>1.0267287489133201</v>
      </c>
      <c r="T19" s="2">
        <v>53.605999243434802</v>
      </c>
      <c r="U19" s="2">
        <v>30.8199572465168</v>
      </c>
      <c r="V19">
        <v>1.4528211254896199</v>
      </c>
      <c r="W19">
        <v>53.605999243434802</v>
      </c>
      <c r="X19">
        <v>1776.76430205733</v>
      </c>
      <c r="Y19">
        <v>105</v>
      </c>
      <c r="AA19" s="4">
        <v>467</v>
      </c>
      <c r="AB19" s="1">
        <f t="shared" si="1"/>
        <v>188.988362</v>
      </c>
    </row>
    <row r="20" spans="1:28" ht="15" thickBot="1" x14ac:dyDescent="0.35">
      <c r="A20">
        <v>70801030404</v>
      </c>
      <c r="B20">
        <v>458632.82391809998</v>
      </c>
      <c r="C20">
        <v>484918.6362069</v>
      </c>
      <c r="D20">
        <v>775829.51801660005</v>
      </c>
      <c r="E20">
        <v>783.56575571200005</v>
      </c>
      <c r="F20">
        <v>44426.717077244997</v>
      </c>
      <c r="G20">
        <v>21699.066043327301</v>
      </c>
      <c r="H20" s="1">
        <f t="shared" si="0"/>
        <v>21.699066043327299</v>
      </c>
      <c r="I20">
        <v>11760</v>
      </c>
      <c r="J20">
        <v>561</v>
      </c>
      <c r="K20">
        <v>65381</v>
      </c>
      <c r="L20">
        <v>12434</v>
      </c>
      <c r="M20">
        <v>415</v>
      </c>
      <c r="N20">
        <v>55757</v>
      </c>
      <c r="O20">
        <v>19893</v>
      </c>
      <c r="P20">
        <v>696</v>
      </c>
      <c r="Q20">
        <v>80474</v>
      </c>
      <c r="R20" s="2">
        <v>26.117863482771298</v>
      </c>
      <c r="S20" s="2">
        <v>4.9083303815861896</v>
      </c>
      <c r="T20" s="2">
        <v>53.608347682697399</v>
      </c>
      <c r="U20" s="2">
        <v>37.316909928198697</v>
      </c>
      <c r="V20">
        <v>6.0863296943732603</v>
      </c>
      <c r="W20">
        <v>53.7766375969248</v>
      </c>
      <c r="X20">
        <v>909.00004789464504</v>
      </c>
      <c r="Y20">
        <v>39</v>
      </c>
      <c r="AA20" s="5">
        <v>159</v>
      </c>
      <c r="AB20" s="1">
        <f t="shared" si="1"/>
        <v>64.345073999999997</v>
      </c>
    </row>
    <row r="21" spans="1:28" ht="15.6" thickTop="1" thickBot="1" x14ac:dyDescent="0.35">
      <c r="A21">
        <v>70801030405</v>
      </c>
      <c r="B21">
        <v>1741952.2518644</v>
      </c>
      <c r="C21">
        <v>1514500.1479257001</v>
      </c>
      <c r="D21">
        <v>2377248.4001354999</v>
      </c>
      <c r="E21">
        <v>2976.7094323219999</v>
      </c>
      <c r="F21">
        <v>124373.02563644599</v>
      </c>
      <c r="G21">
        <v>85183.214565819406</v>
      </c>
      <c r="H21" s="1">
        <f t="shared" si="0"/>
        <v>85.183214565819412</v>
      </c>
      <c r="I21">
        <v>8933</v>
      </c>
      <c r="J21">
        <v>309</v>
      </c>
      <c r="K21">
        <v>90236</v>
      </c>
      <c r="L21">
        <v>7767</v>
      </c>
      <c r="M21">
        <v>173</v>
      </c>
      <c r="N21">
        <v>64820</v>
      </c>
      <c r="O21">
        <v>12191</v>
      </c>
      <c r="P21">
        <v>782</v>
      </c>
      <c r="Q21">
        <v>96708</v>
      </c>
      <c r="R21" s="2">
        <v>23.476627438327402</v>
      </c>
      <c r="S21" s="2">
        <v>0.58356741413873803</v>
      </c>
      <c r="T21" s="2">
        <v>65.297229635743705</v>
      </c>
      <c r="U21" s="2">
        <v>29.766915870082599</v>
      </c>
      <c r="V21">
        <v>0.78489801769718603</v>
      </c>
      <c r="W21">
        <v>69.144260725515593</v>
      </c>
      <c r="X21">
        <v>2837.8609846571599</v>
      </c>
      <c r="Y21">
        <v>195</v>
      </c>
      <c r="AA21" s="6">
        <v>952</v>
      </c>
      <c r="AB21" s="1">
        <f t="shared" si="1"/>
        <v>385.26107200000001</v>
      </c>
    </row>
    <row r="22" spans="1:28" ht="15.6" thickTop="1" thickBot="1" x14ac:dyDescent="0.35">
      <c r="A22">
        <v>70801030406</v>
      </c>
      <c r="B22">
        <v>3396225.9239939</v>
      </c>
      <c r="C22">
        <v>3492897.6158773</v>
      </c>
      <c r="D22">
        <v>4394660.4635282001</v>
      </c>
      <c r="E22">
        <v>6515.9850235049998</v>
      </c>
      <c r="F22">
        <v>259279.63534102301</v>
      </c>
      <c r="G22">
        <v>155008.77586065701</v>
      </c>
      <c r="H22" s="1">
        <f t="shared" si="0"/>
        <v>155.00877586065701</v>
      </c>
      <c r="I22">
        <v>9330</v>
      </c>
      <c r="J22">
        <v>306</v>
      </c>
      <c r="K22">
        <v>142201</v>
      </c>
      <c r="L22">
        <v>9596</v>
      </c>
      <c r="M22">
        <v>360</v>
      </c>
      <c r="N22">
        <v>66869</v>
      </c>
      <c r="O22">
        <v>12073</v>
      </c>
      <c r="P22">
        <v>666</v>
      </c>
      <c r="Q22">
        <v>152400</v>
      </c>
      <c r="R22" s="2">
        <v>26.404995815688899</v>
      </c>
      <c r="S22" s="2">
        <v>2.7722599669723702</v>
      </c>
      <c r="T22" s="2">
        <v>87.200486341195401</v>
      </c>
      <c r="U22" s="2">
        <v>31.092262191980002</v>
      </c>
      <c r="V22">
        <v>3.8534386166590902</v>
      </c>
      <c r="W22">
        <v>93.3803454552327</v>
      </c>
      <c r="X22">
        <v>5982.8873800135998</v>
      </c>
      <c r="Y22">
        <v>364</v>
      </c>
      <c r="AA22" s="6">
        <v>988</v>
      </c>
      <c r="AB22" s="1">
        <f t="shared" si="1"/>
        <v>399.829768</v>
      </c>
    </row>
    <row r="23" spans="1:28" ht="15.6" thickTop="1" thickBot="1" x14ac:dyDescent="0.35">
      <c r="A23">
        <v>70801030407</v>
      </c>
      <c r="B23">
        <v>2596273.5747290999</v>
      </c>
      <c r="C23">
        <v>2684986.6902395999</v>
      </c>
      <c r="D23">
        <v>3324246.2146454998</v>
      </c>
      <c r="E23">
        <v>4742.6485119819999</v>
      </c>
      <c r="F23">
        <v>199812.50752860299</v>
      </c>
      <c r="G23">
        <v>114643.40499807701</v>
      </c>
      <c r="H23" s="1">
        <f t="shared" si="0"/>
        <v>114.643404998077</v>
      </c>
      <c r="I23">
        <v>7232</v>
      </c>
      <c r="J23">
        <v>337</v>
      </c>
      <c r="K23">
        <v>62372</v>
      </c>
      <c r="L23">
        <v>7479</v>
      </c>
      <c r="M23">
        <v>166</v>
      </c>
      <c r="N23">
        <v>60723</v>
      </c>
      <c r="O23">
        <v>9260</v>
      </c>
      <c r="P23">
        <v>503</v>
      </c>
      <c r="Q23">
        <v>66845</v>
      </c>
      <c r="R23" s="2">
        <v>27.779689814435301</v>
      </c>
      <c r="S23" s="2">
        <v>0.56864277041923095</v>
      </c>
      <c r="T23" s="2">
        <v>53.608090657710903</v>
      </c>
      <c r="U23" s="2">
        <v>32.559226541315901</v>
      </c>
      <c r="V23">
        <v>0.81315913966736597</v>
      </c>
      <c r="W23">
        <v>72.876097490914802</v>
      </c>
      <c r="X23">
        <v>4519.7680392386401</v>
      </c>
      <c r="Y23">
        <v>359</v>
      </c>
      <c r="AA23" s="8">
        <v>2054</v>
      </c>
      <c r="AB23" s="1">
        <f t="shared" si="1"/>
        <v>831.22504400000003</v>
      </c>
    </row>
    <row r="24" spans="1:28" ht="15.6" thickTop="1" thickBot="1" x14ac:dyDescent="0.35">
      <c r="A24">
        <v>70801030408</v>
      </c>
      <c r="B24">
        <v>986971.1063936</v>
      </c>
      <c r="C24">
        <v>1190156.584001</v>
      </c>
      <c r="D24">
        <v>1393065.3651624001</v>
      </c>
      <c r="E24">
        <v>2253.7091368189999</v>
      </c>
      <c r="F24">
        <v>92930.817135270001</v>
      </c>
      <c r="G24">
        <v>49110.384301868799</v>
      </c>
      <c r="H24" s="1">
        <f t="shared" si="0"/>
        <v>49.110384301868798</v>
      </c>
      <c r="I24">
        <v>7896</v>
      </c>
      <c r="J24">
        <v>369</v>
      </c>
      <c r="K24">
        <v>41337</v>
      </c>
      <c r="L24">
        <v>9521</v>
      </c>
      <c r="M24">
        <v>449</v>
      </c>
      <c r="N24">
        <v>66570</v>
      </c>
      <c r="O24">
        <v>11145</v>
      </c>
      <c r="P24">
        <v>801</v>
      </c>
      <c r="Q24">
        <v>107906</v>
      </c>
      <c r="R24" s="2">
        <v>25.572566785550599</v>
      </c>
      <c r="S24" s="2">
        <v>0.55039687962527195</v>
      </c>
      <c r="T24" s="2">
        <v>53.608370098150203</v>
      </c>
      <c r="U24" s="2">
        <v>30.812705770356398</v>
      </c>
      <c r="V24">
        <v>0.69074806152321699</v>
      </c>
      <c r="W24">
        <v>53.608370098150203</v>
      </c>
      <c r="X24">
        <v>2094.67005448486</v>
      </c>
      <c r="Y24">
        <v>125</v>
      </c>
      <c r="AA24" s="6">
        <v>849</v>
      </c>
      <c r="AB24" s="1">
        <f t="shared" si="1"/>
        <v>343.57841400000001</v>
      </c>
    </row>
    <row r="25" spans="1:28" ht="15.6" thickTop="1" thickBot="1" x14ac:dyDescent="0.35">
      <c r="A25">
        <v>70801030409</v>
      </c>
      <c r="B25">
        <v>1401948.4835427001</v>
      </c>
      <c r="C25">
        <v>953781.81569950003</v>
      </c>
      <c r="D25">
        <v>1906380.6713288</v>
      </c>
      <c r="E25">
        <v>1596.118652251</v>
      </c>
      <c r="F25">
        <v>81447.609120301</v>
      </c>
      <c r="G25">
        <v>51811.799802529698</v>
      </c>
      <c r="H25" s="1">
        <f t="shared" si="0"/>
        <v>51.811799802529698</v>
      </c>
      <c r="I25">
        <v>12981</v>
      </c>
      <c r="J25">
        <v>290</v>
      </c>
      <c r="K25">
        <v>357663</v>
      </c>
      <c r="L25">
        <v>8831</v>
      </c>
      <c r="M25">
        <v>261</v>
      </c>
      <c r="N25">
        <v>50200</v>
      </c>
      <c r="O25">
        <v>17652</v>
      </c>
      <c r="P25">
        <v>604</v>
      </c>
      <c r="Q25">
        <v>381483</v>
      </c>
      <c r="R25" s="2">
        <v>28.608219493581998</v>
      </c>
      <c r="S25" s="2">
        <v>0.59286078998662395</v>
      </c>
      <c r="T25" s="2">
        <v>53.6083793675257</v>
      </c>
      <c r="U25" s="2">
        <v>35.234133108758101</v>
      </c>
      <c r="V25">
        <v>0.74161105178577402</v>
      </c>
      <c r="W25">
        <v>68.342020851882793</v>
      </c>
      <c r="X25">
        <v>1774.8302458139499</v>
      </c>
      <c r="Y25">
        <v>108</v>
      </c>
      <c r="AA25" s="4">
        <v>742</v>
      </c>
      <c r="AB25" s="1">
        <f t="shared" si="1"/>
        <v>300.27701200000001</v>
      </c>
    </row>
    <row r="26" spans="1:28" ht="15" thickBot="1" x14ac:dyDescent="0.35">
      <c r="A26">
        <v>70801030601</v>
      </c>
      <c r="B26">
        <v>1156824.1602206</v>
      </c>
      <c r="C26">
        <v>997421.97735089995</v>
      </c>
      <c r="D26">
        <v>1400165.3853066</v>
      </c>
      <c r="E26">
        <v>1903.3424537399901</v>
      </c>
      <c r="F26">
        <v>76141.027373814999</v>
      </c>
      <c r="G26">
        <v>51556.6570599154</v>
      </c>
      <c r="H26" s="1">
        <f t="shared" si="0"/>
        <v>51.556657059915402</v>
      </c>
      <c r="I26">
        <v>7923</v>
      </c>
      <c r="J26">
        <v>383</v>
      </c>
      <c r="K26">
        <v>95687</v>
      </c>
      <c r="L26">
        <v>6832</v>
      </c>
      <c r="M26">
        <v>251</v>
      </c>
      <c r="N26">
        <v>39074</v>
      </c>
      <c r="O26">
        <v>9590</v>
      </c>
      <c r="P26">
        <v>712</v>
      </c>
      <c r="Q26">
        <v>102387</v>
      </c>
      <c r="R26" s="2">
        <v>27.9893301325836</v>
      </c>
      <c r="S26" s="2">
        <v>0.50379688301618797</v>
      </c>
      <c r="T26" s="2">
        <v>55.289140260007201</v>
      </c>
      <c r="U26" s="2">
        <v>31.5586142650894</v>
      </c>
      <c r="V26">
        <v>0.70027769381231297</v>
      </c>
      <c r="W26">
        <v>55.289140260007201</v>
      </c>
      <c r="X26">
        <v>1770.4793806516</v>
      </c>
      <c r="Y26">
        <v>146</v>
      </c>
      <c r="AA26" s="4">
        <v>679</v>
      </c>
      <c r="AB26" s="1">
        <f t="shared" si="1"/>
        <v>274.78179399999999</v>
      </c>
    </row>
    <row r="27" spans="1:28" ht="15" thickBot="1" x14ac:dyDescent="0.35">
      <c r="A27">
        <v>70801030602</v>
      </c>
      <c r="B27">
        <v>869109.50753559999</v>
      </c>
      <c r="C27">
        <v>981788.72982819995</v>
      </c>
      <c r="D27">
        <v>1160623.2262772999</v>
      </c>
      <c r="E27">
        <v>1471.126283821</v>
      </c>
      <c r="F27">
        <v>80397.212810527999</v>
      </c>
      <c r="G27">
        <v>31867.239997574499</v>
      </c>
      <c r="H27" s="1">
        <f t="shared" si="0"/>
        <v>31.867239997574501</v>
      </c>
      <c r="I27">
        <v>9053</v>
      </c>
      <c r="J27">
        <v>355</v>
      </c>
      <c r="K27">
        <v>41963</v>
      </c>
      <c r="L27">
        <v>10227</v>
      </c>
      <c r="M27">
        <v>349</v>
      </c>
      <c r="N27">
        <v>56394</v>
      </c>
      <c r="O27">
        <v>12090</v>
      </c>
      <c r="P27">
        <v>705</v>
      </c>
      <c r="Q27">
        <v>70641</v>
      </c>
      <c r="R27" s="2">
        <v>35.316409844439697</v>
      </c>
      <c r="S27" s="2">
        <v>1.2077491627628301</v>
      </c>
      <c r="T27" s="2">
        <v>53.609031258630097</v>
      </c>
      <c r="U27" s="2">
        <v>40.610412628187703</v>
      </c>
      <c r="V27">
        <v>1.67877138211573</v>
      </c>
      <c r="W27">
        <v>53.609031258630097</v>
      </c>
      <c r="X27">
        <v>1662.56289305012</v>
      </c>
      <c r="Y27">
        <v>96</v>
      </c>
      <c r="AA27" s="4">
        <v>270</v>
      </c>
      <c r="AB27" s="1">
        <f t="shared" si="1"/>
        <v>109.26522</v>
      </c>
    </row>
    <row r="28" spans="1:28" ht="15" thickBot="1" x14ac:dyDescent="0.35">
      <c r="A28">
        <v>70801030603</v>
      </c>
      <c r="B28">
        <v>2427040.8338237</v>
      </c>
      <c r="C28">
        <v>1635814.0670278999</v>
      </c>
      <c r="D28">
        <v>3120904.6338931001</v>
      </c>
      <c r="E28">
        <v>2463.2782686709902</v>
      </c>
      <c r="F28">
        <v>121419.154070224</v>
      </c>
      <c r="G28">
        <v>100233.24608908599</v>
      </c>
      <c r="H28" s="1">
        <f t="shared" si="0"/>
        <v>100.23324608908599</v>
      </c>
      <c r="I28">
        <v>13790</v>
      </c>
      <c r="J28">
        <v>296</v>
      </c>
      <c r="K28">
        <v>154425</v>
      </c>
      <c r="L28">
        <v>9294</v>
      </c>
      <c r="M28">
        <v>169</v>
      </c>
      <c r="N28">
        <v>47985</v>
      </c>
      <c r="O28">
        <v>17732</v>
      </c>
      <c r="P28">
        <v>466</v>
      </c>
      <c r="Q28">
        <v>165764</v>
      </c>
      <c r="R28" s="2">
        <v>27.315271908205101</v>
      </c>
      <c r="S28" s="2">
        <v>2.0227718101679901</v>
      </c>
      <c r="T28" s="2">
        <v>53.606631912613601</v>
      </c>
      <c r="U28" s="2">
        <v>33.903924709610301</v>
      </c>
      <c r="V28">
        <v>2.8116527778351399</v>
      </c>
      <c r="W28">
        <v>53.606631912613601</v>
      </c>
      <c r="X28">
        <v>2706.49954585471</v>
      </c>
      <c r="Y28">
        <v>176</v>
      </c>
      <c r="AA28" s="5">
        <v>434</v>
      </c>
      <c r="AB28" s="1">
        <f t="shared" si="1"/>
        <v>175.633724</v>
      </c>
    </row>
    <row r="29" spans="1:28" ht="15.6" thickTop="1" thickBot="1" x14ac:dyDescent="0.35">
      <c r="A29">
        <v>70801030604</v>
      </c>
      <c r="B29">
        <v>274463.59300970001</v>
      </c>
      <c r="C29">
        <v>152283.40538020001</v>
      </c>
      <c r="D29">
        <v>299708.47009999998</v>
      </c>
      <c r="E29">
        <v>213.04752779</v>
      </c>
      <c r="F29">
        <v>11634.346029672901</v>
      </c>
      <c r="G29">
        <v>5694.1850286469798</v>
      </c>
      <c r="H29" s="1">
        <f t="shared" si="0"/>
        <v>5.69418502864698</v>
      </c>
      <c r="I29">
        <v>18298</v>
      </c>
      <c r="J29">
        <v>346</v>
      </c>
      <c r="K29">
        <v>74575</v>
      </c>
      <c r="L29">
        <v>10152</v>
      </c>
      <c r="M29">
        <v>299</v>
      </c>
      <c r="N29">
        <v>42062</v>
      </c>
      <c r="O29">
        <v>19981</v>
      </c>
      <c r="P29">
        <v>669</v>
      </c>
      <c r="Q29">
        <v>79669</v>
      </c>
      <c r="R29" s="2">
        <v>39.745958669721098</v>
      </c>
      <c r="S29" s="2">
        <v>5.48230459418994</v>
      </c>
      <c r="T29" s="2">
        <v>68.143866216300196</v>
      </c>
      <c r="U29" s="2">
        <v>44.5352040085467</v>
      </c>
      <c r="V29">
        <v>10.327209408724</v>
      </c>
      <c r="W29">
        <v>72.915005795891602</v>
      </c>
      <c r="X29">
        <v>256.12268338596903</v>
      </c>
      <c r="Y29">
        <v>15</v>
      </c>
      <c r="AA29" s="7">
        <v>608</v>
      </c>
      <c r="AB29" s="1">
        <f t="shared" si="1"/>
        <v>246.04908799999998</v>
      </c>
    </row>
    <row r="30" spans="1:28" ht="15.6" thickTop="1" thickBot="1" x14ac:dyDescent="0.35">
      <c r="A30">
        <v>70801030605</v>
      </c>
      <c r="B30">
        <v>824500.90418980003</v>
      </c>
      <c r="C30">
        <v>740673.49612250004</v>
      </c>
      <c r="D30">
        <v>1071518.0264121999</v>
      </c>
      <c r="E30">
        <v>1244.317187781</v>
      </c>
      <c r="F30">
        <v>55076.961901934003</v>
      </c>
      <c r="G30">
        <v>38226.925399150103</v>
      </c>
      <c r="H30" s="1">
        <f t="shared" si="0"/>
        <v>38.226925399150105</v>
      </c>
      <c r="I30">
        <v>8962</v>
      </c>
      <c r="J30">
        <v>321</v>
      </c>
      <c r="K30">
        <v>48896</v>
      </c>
      <c r="L30">
        <v>8051</v>
      </c>
      <c r="M30">
        <v>284</v>
      </c>
      <c r="N30">
        <v>47281</v>
      </c>
      <c r="O30">
        <v>11647</v>
      </c>
      <c r="P30">
        <v>605</v>
      </c>
      <c r="Q30">
        <v>73169</v>
      </c>
      <c r="R30" s="2">
        <v>26.009013450899001</v>
      </c>
      <c r="S30" s="2">
        <v>3.7617959254461399</v>
      </c>
      <c r="T30" s="2">
        <v>53.609843770885703</v>
      </c>
      <c r="U30" s="2">
        <v>31.586315268544201</v>
      </c>
      <c r="V30">
        <v>9.0070087431333707</v>
      </c>
      <c r="W30">
        <v>53.609843770885703</v>
      </c>
      <c r="X30">
        <v>1237.7456256706801</v>
      </c>
      <c r="Y30">
        <v>92</v>
      </c>
      <c r="AA30" s="4">
        <v>18</v>
      </c>
      <c r="AB30" s="1">
        <f t="shared" si="1"/>
        <v>7.2843479999999996</v>
      </c>
    </row>
    <row r="31" spans="1:28" ht="15" thickBot="1" x14ac:dyDescent="0.35">
      <c r="A31">
        <v>70801030606</v>
      </c>
      <c r="B31">
        <v>1123528.2443957999</v>
      </c>
      <c r="C31">
        <v>869955.19030320004</v>
      </c>
      <c r="D31">
        <v>1287679.4000889999</v>
      </c>
      <c r="E31">
        <v>1274.248642455</v>
      </c>
      <c r="F31">
        <v>57723.057009536002</v>
      </c>
      <c r="G31">
        <v>47434.4091224765</v>
      </c>
      <c r="H31" s="1">
        <f t="shared" si="0"/>
        <v>47.434409122476502</v>
      </c>
      <c r="I31">
        <v>13064</v>
      </c>
      <c r="J31">
        <v>438</v>
      </c>
      <c r="K31">
        <v>92701</v>
      </c>
      <c r="L31">
        <v>10116</v>
      </c>
      <c r="M31">
        <v>561</v>
      </c>
      <c r="N31">
        <v>38655</v>
      </c>
      <c r="O31">
        <v>14973</v>
      </c>
      <c r="P31">
        <v>1000</v>
      </c>
      <c r="Q31">
        <v>98340</v>
      </c>
      <c r="R31" s="2">
        <v>30.629745032823202</v>
      </c>
      <c r="S31" s="2">
        <v>3.19674260703774</v>
      </c>
      <c r="T31" s="2">
        <v>53.607967893488997</v>
      </c>
      <c r="U31" s="2">
        <v>34.470010755480097</v>
      </c>
      <c r="V31">
        <v>8.0935362883426301</v>
      </c>
      <c r="W31">
        <v>53.607967893488997</v>
      </c>
      <c r="X31">
        <v>1314.2122433068</v>
      </c>
      <c r="Y31">
        <v>86</v>
      </c>
      <c r="AA31" s="4">
        <v>389</v>
      </c>
      <c r="AB31" s="1">
        <f t="shared" si="1"/>
        <v>157.422854</v>
      </c>
    </row>
    <row r="32" spans="1:28" ht="15" thickBot="1" x14ac:dyDescent="0.35">
      <c r="A32">
        <v>70801030607</v>
      </c>
      <c r="B32">
        <v>396603.69331070001</v>
      </c>
      <c r="C32">
        <v>388105.5155331</v>
      </c>
      <c r="D32">
        <v>552632.11102259997</v>
      </c>
      <c r="E32">
        <v>778.17043087799902</v>
      </c>
      <c r="F32">
        <v>33324.557172694003</v>
      </c>
      <c r="G32">
        <v>20695.3010068248</v>
      </c>
      <c r="H32" s="1">
        <f t="shared" si="0"/>
        <v>20.695301006824799</v>
      </c>
      <c r="I32">
        <v>7345</v>
      </c>
      <c r="J32">
        <v>336</v>
      </c>
      <c r="K32">
        <v>69365</v>
      </c>
      <c r="L32">
        <v>7187</v>
      </c>
      <c r="M32">
        <v>224</v>
      </c>
      <c r="N32">
        <v>42113</v>
      </c>
      <c r="O32">
        <v>10234</v>
      </c>
      <c r="P32">
        <v>560</v>
      </c>
      <c r="Q32">
        <v>75103</v>
      </c>
      <c r="R32" s="2">
        <v>24.8532173293783</v>
      </c>
      <c r="S32" s="2">
        <v>0.43775323426657797</v>
      </c>
      <c r="T32" s="2">
        <v>53.6073452009147</v>
      </c>
      <c r="U32" s="2">
        <v>29.8831375647075</v>
      </c>
      <c r="V32">
        <v>0.59096675756242401</v>
      </c>
      <c r="W32">
        <v>53.6073452009147</v>
      </c>
      <c r="X32">
        <v>746.31136475080098</v>
      </c>
      <c r="Y32">
        <v>54</v>
      </c>
      <c r="AA32" s="4" t="s">
        <v>24</v>
      </c>
      <c r="AB32" s="1"/>
    </row>
    <row r="33" spans="1:28" ht="15" thickBot="1" x14ac:dyDescent="0.35">
      <c r="A33">
        <v>70802060301</v>
      </c>
      <c r="B33">
        <v>1038364.6437942</v>
      </c>
      <c r="C33">
        <v>1138664.8147203</v>
      </c>
      <c r="D33">
        <v>1324061.2868722</v>
      </c>
      <c r="E33">
        <v>1529.9145638140001</v>
      </c>
      <c r="F33">
        <v>77174.524087526996</v>
      </c>
      <c r="G33">
        <v>35042.8752960243</v>
      </c>
      <c r="H33" s="1">
        <f t="shared" si="0"/>
        <v>35.042875296024299</v>
      </c>
      <c r="I33">
        <v>16224</v>
      </c>
      <c r="J33">
        <v>291</v>
      </c>
      <c r="K33">
        <v>96880</v>
      </c>
      <c r="L33">
        <v>17792</v>
      </c>
      <c r="M33">
        <v>487</v>
      </c>
      <c r="N33">
        <v>88827</v>
      </c>
      <c r="O33">
        <v>20688</v>
      </c>
      <c r="P33">
        <v>778</v>
      </c>
      <c r="Q33">
        <v>104513</v>
      </c>
      <c r="R33" s="2">
        <v>34.734877782258998</v>
      </c>
      <c r="S33" s="2">
        <v>3.9943701695138598</v>
      </c>
      <c r="T33" s="2">
        <v>53.608906629988198</v>
      </c>
      <c r="U33" s="2">
        <v>39.9490746882094</v>
      </c>
      <c r="V33">
        <v>10.433240819943901</v>
      </c>
      <c r="W33">
        <v>53.608906629988198</v>
      </c>
      <c r="X33">
        <v>1653.7940468756401</v>
      </c>
      <c r="Y33">
        <v>64</v>
      </c>
      <c r="AA33" s="4">
        <v>292</v>
      </c>
      <c r="AB33" s="1">
        <f t="shared" si="1"/>
        <v>118.168312</v>
      </c>
    </row>
    <row r="34" spans="1:28" ht="15" thickBot="1" x14ac:dyDescent="0.35">
      <c r="A34">
        <v>70802060302</v>
      </c>
      <c r="B34">
        <v>1591647.7124423999</v>
      </c>
      <c r="C34">
        <v>1832455.9285728999</v>
      </c>
      <c r="D34">
        <v>1991841.6928057</v>
      </c>
      <c r="E34">
        <v>2826.6759773690001</v>
      </c>
      <c r="F34">
        <v>134180.886540368</v>
      </c>
      <c r="G34">
        <v>60753.016377399501</v>
      </c>
      <c r="H34" s="1">
        <f t="shared" si="0"/>
        <v>60.753016377399504</v>
      </c>
      <c r="I34">
        <v>9705</v>
      </c>
      <c r="J34">
        <v>386</v>
      </c>
      <c r="K34">
        <v>72798</v>
      </c>
      <c r="L34">
        <v>11174</v>
      </c>
      <c r="M34">
        <v>240</v>
      </c>
      <c r="N34">
        <v>98007</v>
      </c>
      <c r="O34">
        <v>12145</v>
      </c>
      <c r="P34">
        <v>634</v>
      </c>
      <c r="Q34">
        <v>109375</v>
      </c>
      <c r="R34" s="2">
        <v>30.538363669383401</v>
      </c>
      <c r="S34" s="2">
        <v>0.657782964821508</v>
      </c>
      <c r="T34" s="2">
        <v>64.4095359592622</v>
      </c>
      <c r="U34" s="2">
        <v>35.510473402609101</v>
      </c>
      <c r="V34">
        <v>0.911029369770188</v>
      </c>
      <c r="W34">
        <v>68.809225013166397</v>
      </c>
      <c r="X34">
        <v>2905.1310817286299</v>
      </c>
      <c r="Y34">
        <v>164</v>
      </c>
      <c r="AA34" s="5">
        <v>284</v>
      </c>
      <c r="AB34" s="1">
        <f t="shared" si="1"/>
        <v>114.930824</v>
      </c>
    </row>
    <row r="35" spans="1:28" ht="15.6" thickTop="1" thickBot="1" x14ac:dyDescent="0.35">
      <c r="A35">
        <v>70802060406</v>
      </c>
      <c r="B35">
        <v>587330.56514049997</v>
      </c>
      <c r="C35">
        <v>783443.2010307</v>
      </c>
      <c r="D35">
        <v>783777.531388</v>
      </c>
      <c r="E35">
        <v>1228.0789199660001</v>
      </c>
      <c r="F35">
        <v>57991.575254101997</v>
      </c>
      <c r="G35">
        <v>26485.1608261658</v>
      </c>
      <c r="H35" s="1">
        <f t="shared" si="0"/>
        <v>26.485160826165799</v>
      </c>
      <c r="I35">
        <v>8512</v>
      </c>
      <c r="J35">
        <v>274</v>
      </c>
      <c r="K35">
        <v>34852</v>
      </c>
      <c r="L35">
        <v>11354</v>
      </c>
      <c r="M35">
        <v>468</v>
      </c>
      <c r="N35">
        <v>49715</v>
      </c>
      <c r="O35">
        <v>11359</v>
      </c>
      <c r="P35">
        <v>704</v>
      </c>
      <c r="Q35">
        <v>62320</v>
      </c>
      <c r="R35" s="2">
        <v>27.734219549715899</v>
      </c>
      <c r="S35" s="2">
        <v>0.90612257170641097</v>
      </c>
      <c r="T35" s="2">
        <v>53.610358212835102</v>
      </c>
      <c r="U35" s="2">
        <v>32.150864098070002</v>
      </c>
      <c r="V35">
        <v>1.2595104096066101</v>
      </c>
      <c r="W35">
        <v>53.610358212835102</v>
      </c>
      <c r="X35">
        <v>1246.6425148399501</v>
      </c>
      <c r="Y35">
        <v>69</v>
      </c>
      <c r="AA35" s="7">
        <v>397</v>
      </c>
      <c r="AB35" s="1">
        <f t="shared" si="1"/>
        <v>160.66034199999999</v>
      </c>
    </row>
    <row r="36" spans="1:28" ht="15.6" thickTop="1" thickBot="1" x14ac:dyDescent="0.35">
      <c r="A36">
        <v>70802060407</v>
      </c>
      <c r="B36">
        <v>280518.3736083</v>
      </c>
      <c r="C36">
        <v>326552.0611548</v>
      </c>
      <c r="D36">
        <v>340959.35744450003</v>
      </c>
      <c r="E36">
        <v>577.59111548099997</v>
      </c>
      <c r="F36">
        <v>25809.568837945</v>
      </c>
      <c r="G36">
        <v>10274.649980222801</v>
      </c>
      <c r="H36" s="1">
        <f t="shared" si="0"/>
        <v>10.274649980222801</v>
      </c>
      <c r="I36">
        <v>6524</v>
      </c>
      <c r="J36">
        <v>475</v>
      </c>
      <c r="K36">
        <v>35489</v>
      </c>
      <c r="L36">
        <v>7594</v>
      </c>
      <c r="M36">
        <v>494</v>
      </c>
      <c r="N36">
        <v>50732</v>
      </c>
      <c r="O36">
        <v>7929</v>
      </c>
      <c r="P36">
        <v>969</v>
      </c>
      <c r="Q36">
        <v>35489</v>
      </c>
      <c r="R36" s="2">
        <v>30.388772881996399</v>
      </c>
      <c r="S36" s="2">
        <v>3.4869026141456501</v>
      </c>
      <c r="T36" s="2">
        <v>53.610472100745802</v>
      </c>
      <c r="U36" s="2">
        <v>34.415438282186102</v>
      </c>
      <c r="V36">
        <v>7.7325220029682402</v>
      </c>
      <c r="W36">
        <v>53.610472100745802</v>
      </c>
      <c r="X36">
        <v>566.72778796104103</v>
      </c>
      <c r="Y36">
        <v>43</v>
      </c>
      <c r="AA36" s="4">
        <v>69</v>
      </c>
      <c r="AB36" s="1">
        <f t="shared" si="1"/>
        <v>27.923334000000001</v>
      </c>
    </row>
    <row r="37" spans="1:28" ht="15" thickBot="1" x14ac:dyDescent="0.35">
      <c r="A37">
        <v>70802060501</v>
      </c>
      <c r="B37">
        <v>2956583.4303549002</v>
      </c>
      <c r="C37">
        <v>2714251.0926807998</v>
      </c>
      <c r="D37">
        <v>4077304.4763985001</v>
      </c>
      <c r="E37">
        <v>3338.9488974639999</v>
      </c>
      <c r="F37">
        <v>175723.74621088701</v>
      </c>
      <c r="G37">
        <v>117273.932952202</v>
      </c>
      <c r="H37" s="1">
        <f t="shared" si="0"/>
        <v>117.273932952202</v>
      </c>
      <c r="I37">
        <v>14352</v>
      </c>
      <c r="J37">
        <v>303</v>
      </c>
      <c r="K37">
        <v>290259</v>
      </c>
      <c r="L37">
        <v>13176</v>
      </c>
      <c r="M37">
        <v>488</v>
      </c>
      <c r="N37">
        <v>96852</v>
      </c>
      <c r="O37">
        <v>19793</v>
      </c>
      <c r="P37">
        <v>735</v>
      </c>
      <c r="Q37">
        <v>311573</v>
      </c>
      <c r="R37" s="2">
        <v>29.595541987254599</v>
      </c>
      <c r="S37" s="2">
        <v>0.49106475079490702</v>
      </c>
      <c r="T37" s="2">
        <v>53.608554174856401</v>
      </c>
      <c r="U37" s="2">
        <v>37.0358600453131</v>
      </c>
      <c r="V37">
        <v>0.68257999059843599</v>
      </c>
      <c r="W37">
        <v>53.608554174856401</v>
      </c>
      <c r="X37">
        <v>3784.8847862376701</v>
      </c>
      <c r="Y37">
        <v>206</v>
      </c>
      <c r="AA37" s="5">
        <v>181</v>
      </c>
      <c r="AB37" s="1">
        <f t="shared" si="1"/>
        <v>73.248165999999998</v>
      </c>
    </row>
    <row r="38" spans="1:28" ht="15.6" thickTop="1" thickBot="1" x14ac:dyDescent="0.35">
      <c r="A38">
        <v>70802060502</v>
      </c>
      <c r="B38">
        <v>3737264.7936077002</v>
      </c>
      <c r="C38">
        <v>3963138.594087</v>
      </c>
      <c r="D38">
        <v>4901535.6897810996</v>
      </c>
      <c r="E38">
        <v>4933.5881214620003</v>
      </c>
      <c r="F38">
        <v>261709.09564898501</v>
      </c>
      <c r="G38">
        <v>128414.61441440901</v>
      </c>
      <c r="H38" s="1">
        <f t="shared" si="0"/>
        <v>128.41461441440902</v>
      </c>
      <c r="I38">
        <v>13740</v>
      </c>
      <c r="J38">
        <v>288</v>
      </c>
      <c r="K38">
        <v>119035</v>
      </c>
      <c r="L38">
        <v>14570</v>
      </c>
      <c r="M38">
        <v>351</v>
      </c>
      <c r="N38">
        <v>89596</v>
      </c>
      <c r="O38">
        <v>18020</v>
      </c>
      <c r="P38">
        <v>544</v>
      </c>
      <c r="Q38">
        <v>128081</v>
      </c>
      <c r="R38" s="2">
        <v>33.5004038073168</v>
      </c>
      <c r="S38" s="2">
        <v>0.44354776493940001</v>
      </c>
      <c r="T38" s="2">
        <v>55.336117536147199</v>
      </c>
      <c r="U38" s="2">
        <v>40.976757932326102</v>
      </c>
      <c r="V38">
        <v>0.61653139426382197</v>
      </c>
      <c r="W38">
        <v>55.3532570814438</v>
      </c>
      <c r="X38">
        <v>5551.7783280169297</v>
      </c>
      <c r="Y38">
        <v>272</v>
      </c>
      <c r="AA38" s="7">
        <v>715</v>
      </c>
      <c r="AB38" s="1">
        <f t="shared" si="1"/>
        <v>289.35048999999998</v>
      </c>
    </row>
    <row r="39" spans="1:28" ht="15.6" thickTop="1" thickBot="1" x14ac:dyDescent="0.35">
      <c r="A39">
        <v>70802060503</v>
      </c>
      <c r="B39">
        <v>1112726.8339029001</v>
      </c>
      <c r="C39">
        <v>995675.85357346002</v>
      </c>
      <c r="D39">
        <v>1589897.9062143001</v>
      </c>
      <c r="E39">
        <v>1235.8313456660001</v>
      </c>
      <c r="F39">
        <v>70317.992473638005</v>
      </c>
      <c r="G39">
        <v>44762.637305869801</v>
      </c>
      <c r="H39" s="1">
        <f>0.001*G39</f>
        <v>44.762637305869802</v>
      </c>
      <c r="I39">
        <v>15037</v>
      </c>
      <c r="J39">
        <v>365</v>
      </c>
      <c r="K39">
        <v>69102</v>
      </c>
      <c r="L39">
        <v>13455</v>
      </c>
      <c r="M39">
        <v>59</v>
      </c>
      <c r="N39">
        <v>76250</v>
      </c>
      <c r="O39">
        <v>21485</v>
      </c>
      <c r="P39">
        <v>597</v>
      </c>
      <c r="Q39">
        <v>73410</v>
      </c>
      <c r="R39" s="2">
        <v>33.872381472967497</v>
      </c>
      <c r="S39" s="2">
        <v>0.48604297371543798</v>
      </c>
      <c r="T39" s="2">
        <v>56.787452334291601</v>
      </c>
      <c r="U39" s="2">
        <v>42.9299883751588</v>
      </c>
      <c r="V39">
        <v>0.49333359307537</v>
      </c>
      <c r="W39">
        <v>60.569515657284001</v>
      </c>
      <c r="X39">
        <v>1476.2162163238499</v>
      </c>
      <c r="Y39">
        <v>74</v>
      </c>
      <c r="AA39" s="7">
        <v>429</v>
      </c>
      <c r="AB39" s="1">
        <f t="shared" si="1"/>
        <v>173.61029399999998</v>
      </c>
    </row>
    <row r="40" spans="1:28" ht="15.6" thickTop="1" thickBot="1" x14ac:dyDescent="0.35">
      <c r="A40">
        <v>70802060601</v>
      </c>
      <c r="B40">
        <v>3142217.3658730998</v>
      </c>
      <c r="C40">
        <v>3380325.3094909</v>
      </c>
      <c r="D40">
        <v>4164675.8826958002</v>
      </c>
      <c r="E40">
        <v>4141.2320359679998</v>
      </c>
      <c r="F40">
        <v>216500.05923184301</v>
      </c>
      <c r="G40">
        <v>115472.13195859399</v>
      </c>
      <c r="H40" s="1">
        <f t="shared" si="0"/>
        <v>115.47213195859399</v>
      </c>
      <c r="I40">
        <v>17077</v>
      </c>
      <c r="J40">
        <v>343</v>
      </c>
      <c r="K40">
        <v>121381</v>
      </c>
      <c r="L40">
        <v>18371</v>
      </c>
      <c r="M40">
        <v>337</v>
      </c>
      <c r="N40">
        <v>112342</v>
      </c>
      <c r="O40">
        <v>22634</v>
      </c>
      <c r="P40">
        <v>777</v>
      </c>
      <c r="Q40">
        <v>174521</v>
      </c>
      <c r="R40" s="2">
        <v>34.054025354121897</v>
      </c>
      <c r="S40" s="2">
        <v>1.0590212775788399</v>
      </c>
      <c r="T40" s="2">
        <v>53.6092499860979</v>
      </c>
      <c r="U40" s="2">
        <v>40.0623495021512</v>
      </c>
      <c r="V40">
        <v>1.51439943458421</v>
      </c>
      <c r="W40">
        <v>56.607050299901701</v>
      </c>
      <c r="X40">
        <v>4617.22994150254</v>
      </c>
      <c r="Y40">
        <v>184</v>
      </c>
      <c r="AA40" s="6">
        <v>887</v>
      </c>
      <c r="AB40" s="1">
        <f t="shared" si="1"/>
        <v>358.95648199999999</v>
      </c>
    </row>
    <row r="41" spans="1:28" ht="15.6" thickTop="1" thickBot="1" x14ac:dyDescent="0.35">
      <c r="A41">
        <v>70802060602</v>
      </c>
      <c r="B41">
        <v>3693589.9340178999</v>
      </c>
      <c r="C41">
        <v>4406822.670961</v>
      </c>
      <c r="D41">
        <v>4615955.7341818996</v>
      </c>
      <c r="E41">
        <v>6343.6016780250002</v>
      </c>
      <c r="F41">
        <v>287769.719539574</v>
      </c>
      <c r="G41">
        <v>144117.13019157399</v>
      </c>
      <c r="H41" s="1">
        <f t="shared" si="0"/>
        <v>144.11713019157401</v>
      </c>
      <c r="I41">
        <v>12071</v>
      </c>
      <c r="J41">
        <v>412</v>
      </c>
      <c r="K41">
        <v>113340</v>
      </c>
      <c r="L41">
        <v>14401</v>
      </c>
      <c r="M41">
        <v>631</v>
      </c>
      <c r="N41">
        <v>128265</v>
      </c>
      <c r="O41">
        <v>15085</v>
      </c>
      <c r="P41">
        <v>885</v>
      </c>
      <c r="Q41">
        <v>170700</v>
      </c>
      <c r="R41" s="2">
        <v>31.239588266549401</v>
      </c>
      <c r="S41" s="2">
        <v>1.1695209808684199</v>
      </c>
      <c r="T41" s="2">
        <v>53.608666900433697</v>
      </c>
      <c r="U41" s="2">
        <v>35.809409597334103</v>
      </c>
      <c r="V41">
        <v>1.67241504424067</v>
      </c>
      <c r="W41">
        <v>74.786126958150604</v>
      </c>
      <c r="X41">
        <v>6348.4234881025905</v>
      </c>
      <c r="Y41">
        <v>306</v>
      </c>
      <c r="AA41" s="8">
        <v>1128</v>
      </c>
      <c r="AB41" s="1">
        <f t="shared" si="1"/>
        <v>456.48580799999996</v>
      </c>
    </row>
    <row r="42" spans="1:28" ht="15.6" thickTop="1" thickBot="1" x14ac:dyDescent="0.35">
      <c r="A42">
        <v>70802060603</v>
      </c>
      <c r="B42">
        <v>2686246.5451492001</v>
      </c>
      <c r="C42">
        <v>2694010.2358177998</v>
      </c>
      <c r="D42">
        <v>3487024.6423625001</v>
      </c>
      <c r="E42">
        <v>3976.0815335719999</v>
      </c>
      <c r="F42">
        <v>183415.21215538401</v>
      </c>
      <c r="G42">
        <v>105634.716594347</v>
      </c>
      <c r="H42" s="1">
        <f t="shared" si="0"/>
        <v>105.63471659434701</v>
      </c>
      <c r="I42">
        <v>9698</v>
      </c>
      <c r="J42">
        <v>324</v>
      </c>
      <c r="K42">
        <v>79297</v>
      </c>
      <c r="L42">
        <v>9726</v>
      </c>
      <c r="M42">
        <v>358</v>
      </c>
      <c r="N42">
        <v>47243</v>
      </c>
      <c r="O42">
        <v>12589</v>
      </c>
      <c r="P42">
        <v>731</v>
      </c>
      <c r="Q42">
        <v>84579</v>
      </c>
      <c r="R42" s="2">
        <v>30.469377258263201</v>
      </c>
      <c r="S42" s="2">
        <v>0.88655915814567499</v>
      </c>
      <c r="T42" s="2">
        <v>81.597013384719105</v>
      </c>
      <c r="U42" s="2">
        <v>36.155926325277001</v>
      </c>
      <c r="V42">
        <v>1.2943763267788</v>
      </c>
      <c r="W42">
        <v>86.125670565503299</v>
      </c>
      <c r="X42">
        <v>4062.01877520482</v>
      </c>
      <c r="Y42">
        <v>277</v>
      </c>
      <c r="AA42" s="7">
        <v>806</v>
      </c>
      <c r="AB42" s="1">
        <f t="shared" si="1"/>
        <v>326.17691600000001</v>
      </c>
    </row>
    <row r="43" spans="1:28" ht="15.6" thickTop="1" thickBot="1" x14ac:dyDescent="0.35">
      <c r="A43">
        <v>70802060704</v>
      </c>
      <c r="B43">
        <v>1927561.7122509</v>
      </c>
      <c r="C43">
        <v>1768219.8458399</v>
      </c>
      <c r="D43">
        <v>2371209.7716740998</v>
      </c>
      <c r="E43">
        <v>2654.8680026460001</v>
      </c>
      <c r="F43">
        <v>115278.440732528</v>
      </c>
      <c r="G43">
        <v>84677.086908684505</v>
      </c>
      <c r="H43" s="1">
        <f t="shared" si="0"/>
        <v>84.677086908684501</v>
      </c>
      <c r="I43">
        <v>11972</v>
      </c>
      <c r="J43">
        <v>372</v>
      </c>
      <c r="K43">
        <v>179965</v>
      </c>
      <c r="L43">
        <v>10983</v>
      </c>
      <c r="M43">
        <v>415</v>
      </c>
      <c r="N43">
        <v>56888</v>
      </c>
      <c r="O43">
        <v>14728</v>
      </c>
      <c r="P43">
        <v>817</v>
      </c>
      <c r="Q43">
        <v>193334</v>
      </c>
      <c r="R43" s="2">
        <v>28.477899451754599</v>
      </c>
      <c r="S43" s="2">
        <v>0.67214838393612497</v>
      </c>
      <c r="T43" s="2">
        <v>53.607141227669402</v>
      </c>
      <c r="U43" s="2">
        <v>33.293811701512404</v>
      </c>
      <c r="V43">
        <v>0.93428594491768502</v>
      </c>
      <c r="W43">
        <v>53.607141227669402</v>
      </c>
      <c r="X43">
        <v>2626.8534899097599</v>
      </c>
      <c r="Y43">
        <v>161</v>
      </c>
      <c r="AA43" s="8">
        <v>1196</v>
      </c>
      <c r="AB43" s="1">
        <f t="shared" si="1"/>
        <v>484.004456</v>
      </c>
    </row>
    <row r="44" spans="1:28" ht="15.6" thickTop="1" thickBot="1" x14ac:dyDescent="0.35">
      <c r="A44">
        <v>70802060801</v>
      </c>
      <c r="B44">
        <v>1107817.9945334001</v>
      </c>
      <c r="C44">
        <v>1373749.8580254</v>
      </c>
      <c r="D44">
        <v>1594177.1517523001</v>
      </c>
      <c r="E44">
        <v>2372.377930185</v>
      </c>
      <c r="F44">
        <v>103689.838983835</v>
      </c>
      <c r="G44">
        <v>51385.207410737297</v>
      </c>
      <c r="H44" s="1">
        <f t="shared" si="0"/>
        <v>51.385207410737301</v>
      </c>
      <c r="I44">
        <v>8723</v>
      </c>
      <c r="J44">
        <v>308</v>
      </c>
      <c r="K44">
        <v>55626</v>
      </c>
      <c r="L44">
        <v>10817</v>
      </c>
      <c r="M44">
        <v>393</v>
      </c>
      <c r="N44">
        <v>83397</v>
      </c>
      <c r="O44">
        <v>12553</v>
      </c>
      <c r="P44">
        <v>702</v>
      </c>
      <c r="Q44">
        <v>69132</v>
      </c>
      <c r="R44" s="2">
        <v>26.769805321236198</v>
      </c>
      <c r="S44" s="2">
        <v>2.88781301343134</v>
      </c>
      <c r="T44" s="2">
        <v>53.607537013032598</v>
      </c>
      <c r="U44" s="2">
        <v>33.419011419721997</v>
      </c>
      <c r="V44">
        <v>7.9919354453435503</v>
      </c>
      <c r="W44">
        <v>53.607537013032598</v>
      </c>
      <c r="X44">
        <v>2293.4212962347701</v>
      </c>
      <c r="Y44">
        <v>127</v>
      </c>
      <c r="AA44" s="7">
        <v>20</v>
      </c>
      <c r="AB44" s="1">
        <f t="shared" si="1"/>
        <v>8.0937199999999994</v>
      </c>
    </row>
    <row r="45" spans="1:28" ht="15.6" thickTop="1" thickBot="1" x14ac:dyDescent="0.35">
      <c r="A45">
        <v>70802060802</v>
      </c>
      <c r="B45">
        <v>1347622.1027241901</v>
      </c>
      <c r="C45">
        <v>1119031.921906</v>
      </c>
      <c r="D45">
        <v>2036137.2410496001</v>
      </c>
      <c r="E45">
        <v>1358.5267407910001</v>
      </c>
      <c r="F45">
        <v>77392.548139353996</v>
      </c>
      <c r="G45">
        <v>49184.786284123998</v>
      </c>
      <c r="H45" s="1">
        <f t="shared" si="0"/>
        <v>49.184786284124002</v>
      </c>
      <c r="I45">
        <v>19252</v>
      </c>
      <c r="J45">
        <v>511</v>
      </c>
      <c r="K45">
        <v>316987</v>
      </c>
      <c r="L45">
        <v>15986</v>
      </c>
      <c r="M45">
        <v>1226</v>
      </c>
      <c r="N45">
        <v>44563</v>
      </c>
      <c r="O45">
        <v>29088</v>
      </c>
      <c r="P45">
        <v>695</v>
      </c>
      <c r="Q45">
        <v>341346</v>
      </c>
      <c r="R45" s="2">
        <v>32.862883765521097</v>
      </c>
      <c r="S45" s="2">
        <v>0.45712780897066801</v>
      </c>
      <c r="T45" s="2">
        <v>61.135456837569002</v>
      </c>
      <c r="U45" s="2">
        <v>44.510583989005397</v>
      </c>
      <c r="V45">
        <v>0.62169334834248302</v>
      </c>
      <c r="W45">
        <v>65.833501469064799</v>
      </c>
      <c r="X45">
        <v>1638.35297980063</v>
      </c>
      <c r="Y45">
        <v>70</v>
      </c>
      <c r="AA45" s="8">
        <v>1399</v>
      </c>
      <c r="AB45" s="1">
        <f t="shared" si="1"/>
        <v>566.15571399999999</v>
      </c>
    </row>
    <row r="46" spans="1:28" ht="15.6" thickTop="1" thickBot="1" x14ac:dyDescent="0.35">
      <c r="A46">
        <v>70802060803</v>
      </c>
      <c r="B46">
        <v>1089848.5987573001</v>
      </c>
      <c r="C46">
        <v>1216879.6987588</v>
      </c>
      <c r="D46">
        <v>1535783.1001657001</v>
      </c>
      <c r="E46">
        <v>1913.1335988450001</v>
      </c>
      <c r="F46">
        <v>91702.142413178997</v>
      </c>
      <c r="G46">
        <v>46011.6022386861</v>
      </c>
      <c r="H46" s="1">
        <f t="shared" si="0"/>
        <v>46.011602238686102</v>
      </c>
      <c r="I46">
        <v>7955</v>
      </c>
      <c r="J46">
        <v>363</v>
      </c>
      <c r="K46">
        <v>40419</v>
      </c>
      <c r="L46">
        <v>8882</v>
      </c>
      <c r="M46">
        <v>221</v>
      </c>
      <c r="N46">
        <v>47067</v>
      </c>
      <c r="O46">
        <v>11210</v>
      </c>
      <c r="P46">
        <v>620</v>
      </c>
      <c r="Q46">
        <v>66332</v>
      </c>
      <c r="R46" s="2">
        <v>29.324825035780901</v>
      </c>
      <c r="S46" s="2">
        <v>3.1651879356050201</v>
      </c>
      <c r="T46" s="2">
        <v>58.494784468929502</v>
      </c>
      <c r="U46" s="2">
        <v>36.159963054998698</v>
      </c>
      <c r="V46">
        <v>5.4029374180498397</v>
      </c>
      <c r="W46">
        <v>60.873209615503903</v>
      </c>
      <c r="X46">
        <v>1981.4386354579301</v>
      </c>
      <c r="Y46">
        <v>137</v>
      </c>
      <c r="AA46" s="4">
        <v>172</v>
      </c>
      <c r="AB46" s="1">
        <f t="shared" si="1"/>
        <v>69.605992000000001</v>
      </c>
    </row>
    <row r="47" spans="1:28" ht="15" thickBot="1" x14ac:dyDescent="0.35">
      <c r="A47">
        <v>70802060804</v>
      </c>
      <c r="B47">
        <v>1107475.6330484999</v>
      </c>
      <c r="C47">
        <v>1006799.2637751</v>
      </c>
      <c r="D47">
        <v>1640619.5300485999</v>
      </c>
      <c r="E47">
        <v>1418.860795778</v>
      </c>
      <c r="F47">
        <v>76678.148235896006</v>
      </c>
      <c r="G47">
        <v>44243.440724660497</v>
      </c>
      <c r="H47" s="1">
        <f t="shared" si="0"/>
        <v>44.243440724660495</v>
      </c>
      <c r="I47">
        <v>12444</v>
      </c>
      <c r="J47">
        <v>359</v>
      </c>
      <c r="K47">
        <v>110899</v>
      </c>
      <c r="L47">
        <v>11312</v>
      </c>
      <c r="M47">
        <v>134</v>
      </c>
      <c r="N47">
        <v>55295</v>
      </c>
      <c r="O47">
        <v>18434</v>
      </c>
      <c r="P47">
        <v>493</v>
      </c>
      <c r="Q47">
        <v>118758</v>
      </c>
      <c r="R47" s="2">
        <v>28.326279234055399</v>
      </c>
      <c r="S47" s="2">
        <v>1.20848787788873</v>
      </c>
      <c r="T47" s="2">
        <v>53.608338381543703</v>
      </c>
      <c r="U47" s="2">
        <v>38.646588225861997</v>
      </c>
      <c r="V47">
        <v>1.7281376541529501</v>
      </c>
      <c r="W47">
        <v>53.608338381543703</v>
      </c>
      <c r="X47">
        <v>1621.52817555507</v>
      </c>
      <c r="Y47">
        <v>89</v>
      </c>
      <c r="AA47" s="4">
        <v>497</v>
      </c>
      <c r="AB47" s="1">
        <f t="shared" si="1"/>
        <v>201.128942</v>
      </c>
    </row>
    <row r="48" spans="1:28" ht="15" thickBot="1" x14ac:dyDescent="0.35">
      <c r="A48">
        <v>70802060805</v>
      </c>
      <c r="B48">
        <v>145009.48003959999</v>
      </c>
      <c r="C48">
        <v>182540.6563766</v>
      </c>
      <c r="D48">
        <v>304483.78859299998</v>
      </c>
      <c r="E48">
        <v>256.388421994</v>
      </c>
      <c r="F48">
        <v>14094.845053110001</v>
      </c>
      <c r="G48">
        <v>7981.5920177610797</v>
      </c>
      <c r="H48" s="1">
        <f t="shared" si="0"/>
        <v>7.9815920177610797</v>
      </c>
      <c r="I48">
        <v>13183</v>
      </c>
      <c r="J48">
        <v>675</v>
      </c>
      <c r="K48">
        <v>47514</v>
      </c>
      <c r="L48">
        <v>16595</v>
      </c>
      <c r="M48">
        <v>822</v>
      </c>
      <c r="N48">
        <v>72783</v>
      </c>
      <c r="O48">
        <v>27680</v>
      </c>
      <c r="P48">
        <v>1498</v>
      </c>
      <c r="Q48">
        <v>120297</v>
      </c>
      <c r="R48" s="2">
        <v>27.187729971608501</v>
      </c>
      <c r="S48" s="2">
        <v>5.4803843706194399</v>
      </c>
      <c r="T48" s="2">
        <v>53.607970381414198</v>
      </c>
      <c r="U48" s="2">
        <v>37.870725093531902</v>
      </c>
      <c r="V48">
        <v>12.6519242502536</v>
      </c>
      <c r="W48">
        <v>53.607970381414198</v>
      </c>
      <c r="X48">
        <v>291.04933574558203</v>
      </c>
      <c r="Y48">
        <v>11</v>
      </c>
      <c r="AA48" s="4">
        <v>260</v>
      </c>
      <c r="AB48" s="1">
        <f t="shared" si="1"/>
        <v>105.21836</v>
      </c>
    </row>
    <row r="49" spans="27:28" ht="15" thickBot="1" x14ac:dyDescent="0.35">
      <c r="AA49" s="4" t="s">
        <v>24</v>
      </c>
      <c r="AB49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zoomScaleNormal="100" workbookViewId="0">
      <selection sqref="A1:P1048576"/>
    </sheetView>
  </sheetViews>
  <sheetFormatPr defaultRowHeight="14.4" x14ac:dyDescent="0.3"/>
  <cols>
    <col min="1" max="1" width="12" style="10" bestFit="1" customWidth="1"/>
    <col min="2" max="6" width="8.88671875" style="10"/>
    <col min="7" max="8" width="10.6640625" style="10" bestFit="1" customWidth="1"/>
    <col min="9" max="16384" width="8.88671875" style="10"/>
  </cols>
  <sheetData>
    <row r="1" spans="1:16" ht="15" customHeight="1" thickBot="1" x14ac:dyDescent="0.35">
      <c r="A1" s="10" t="s">
        <v>25</v>
      </c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36</v>
      </c>
      <c r="M1" s="10" t="s">
        <v>37</v>
      </c>
      <c r="N1" s="10" t="s">
        <v>38</v>
      </c>
      <c r="O1" s="10" t="s">
        <v>39</v>
      </c>
      <c r="P1" s="10" t="s">
        <v>40</v>
      </c>
    </row>
    <row r="2" spans="1:16" ht="15" thickBot="1" x14ac:dyDescent="0.35">
      <c r="A2" s="11">
        <v>70801030303</v>
      </c>
      <c r="B2" s="51">
        <v>160</v>
      </c>
      <c r="C2" s="52">
        <v>25371</v>
      </c>
      <c r="D2" s="57">
        <v>38</v>
      </c>
      <c r="E2" s="52">
        <v>5439</v>
      </c>
      <c r="F2" s="52">
        <v>261842</v>
      </c>
      <c r="G2" s="54">
        <v>3943428</v>
      </c>
      <c r="H2" s="54">
        <v>5192142</v>
      </c>
      <c r="I2" s="55">
        <v>29.4</v>
      </c>
      <c r="J2" s="55">
        <v>35.75</v>
      </c>
      <c r="K2" s="56">
        <v>0.28000000000000003</v>
      </c>
      <c r="L2" s="56">
        <v>0.41</v>
      </c>
      <c r="M2" s="51">
        <v>18936</v>
      </c>
      <c r="N2" s="51">
        <v>156647</v>
      </c>
      <c r="O2" s="51">
        <v>10</v>
      </c>
      <c r="P2" s="51">
        <v>8</v>
      </c>
    </row>
    <row r="3" spans="1:16" ht="15" thickBot="1" x14ac:dyDescent="0.35">
      <c r="A3" s="14">
        <v>70801030408</v>
      </c>
      <c r="B3" s="15">
        <v>49</v>
      </c>
      <c r="C3" s="16">
        <v>11324</v>
      </c>
      <c r="D3" s="48">
        <v>344</v>
      </c>
      <c r="E3" s="16">
        <v>2228</v>
      </c>
      <c r="F3" s="16">
        <v>91635</v>
      </c>
      <c r="G3" s="18">
        <v>1009410</v>
      </c>
      <c r="H3" s="18">
        <v>1423298</v>
      </c>
      <c r="I3" s="59">
        <v>25.57</v>
      </c>
      <c r="J3" s="59">
        <v>30.81</v>
      </c>
      <c r="K3" s="63">
        <v>0.2</v>
      </c>
      <c r="L3" s="63">
        <v>0.26</v>
      </c>
      <c r="M3" s="15">
        <v>7403</v>
      </c>
      <c r="N3" s="15">
        <v>55504</v>
      </c>
      <c r="O3" s="42">
        <v>11</v>
      </c>
      <c r="P3" s="42">
        <v>10</v>
      </c>
    </row>
    <row r="4" spans="1:16" ht="15" thickBot="1" x14ac:dyDescent="0.35">
      <c r="A4" s="14">
        <v>70802060601</v>
      </c>
      <c r="B4" s="42">
        <v>115</v>
      </c>
      <c r="C4" s="45">
        <v>17348</v>
      </c>
      <c r="D4" s="48">
        <v>359</v>
      </c>
      <c r="E4" s="45">
        <v>4155</v>
      </c>
      <c r="F4" s="45">
        <v>217776</v>
      </c>
      <c r="G4" s="18">
        <v>3199191</v>
      </c>
      <c r="H4" s="18">
        <v>4246383</v>
      </c>
      <c r="I4" s="19">
        <v>34.049999999999997</v>
      </c>
      <c r="J4" s="19">
        <v>40.06</v>
      </c>
      <c r="K4" s="20">
        <v>0.27</v>
      </c>
      <c r="L4" s="20">
        <v>0.37</v>
      </c>
      <c r="M4" s="42">
        <v>14687</v>
      </c>
      <c r="N4" s="42">
        <v>129230</v>
      </c>
      <c r="O4" s="42">
        <v>17</v>
      </c>
      <c r="P4" s="42">
        <v>14</v>
      </c>
    </row>
    <row r="5" spans="1:16" ht="15" thickBot="1" x14ac:dyDescent="0.35">
      <c r="A5" s="14">
        <v>70802060502</v>
      </c>
      <c r="B5" s="42">
        <v>128</v>
      </c>
      <c r="C5" s="45">
        <v>15720</v>
      </c>
      <c r="D5" s="17">
        <v>289</v>
      </c>
      <c r="E5" s="45">
        <v>4917</v>
      </c>
      <c r="F5" s="45">
        <v>261035</v>
      </c>
      <c r="G5" s="18">
        <v>3801141</v>
      </c>
      <c r="H5" s="18">
        <v>4990143</v>
      </c>
      <c r="I5" s="19">
        <v>33.5</v>
      </c>
      <c r="J5" s="19">
        <v>40.98</v>
      </c>
      <c r="K5" s="20">
        <v>0.34</v>
      </c>
      <c r="L5" s="20">
        <v>0.48</v>
      </c>
      <c r="M5" s="42">
        <v>17493</v>
      </c>
      <c r="N5" s="42">
        <v>155611</v>
      </c>
      <c r="O5" s="42">
        <v>18</v>
      </c>
      <c r="P5" s="42">
        <v>14</v>
      </c>
    </row>
    <row r="6" spans="1:16" ht="15" thickBot="1" x14ac:dyDescent="0.35">
      <c r="A6" s="14">
        <v>70802060501</v>
      </c>
      <c r="B6" s="42">
        <v>117</v>
      </c>
      <c r="C6" s="45">
        <v>13000</v>
      </c>
      <c r="D6" s="17">
        <v>73</v>
      </c>
      <c r="E6" s="45">
        <v>3342</v>
      </c>
      <c r="F6" s="45">
        <v>175968</v>
      </c>
      <c r="G6" s="18">
        <v>3000286</v>
      </c>
      <c r="H6" s="18">
        <v>4138423</v>
      </c>
      <c r="I6" s="19">
        <v>29.6</v>
      </c>
      <c r="J6" s="19">
        <v>37.04</v>
      </c>
      <c r="K6" s="20">
        <v>0.32</v>
      </c>
      <c r="L6" s="20">
        <v>0.49</v>
      </c>
      <c r="M6" s="42">
        <v>12034</v>
      </c>
      <c r="N6" s="42">
        <v>103919</v>
      </c>
      <c r="O6" s="42">
        <v>17</v>
      </c>
      <c r="P6" s="42">
        <v>15</v>
      </c>
    </row>
    <row r="7" spans="1:16" ht="15" thickBot="1" x14ac:dyDescent="0.35">
      <c r="A7" s="14">
        <v>70801030407</v>
      </c>
      <c r="B7" s="42">
        <v>115</v>
      </c>
      <c r="C7" s="45">
        <v>27543</v>
      </c>
      <c r="D7" s="48">
        <v>831</v>
      </c>
      <c r="E7" s="45">
        <v>4566</v>
      </c>
      <c r="F7" s="45">
        <v>191961</v>
      </c>
      <c r="G7" s="18">
        <v>2651170</v>
      </c>
      <c r="H7" s="18">
        <v>3400214</v>
      </c>
      <c r="I7" s="19">
        <v>27.78</v>
      </c>
      <c r="J7" s="19">
        <v>32.56</v>
      </c>
      <c r="K7" s="20">
        <v>0.22</v>
      </c>
      <c r="L7" s="20">
        <v>0.3</v>
      </c>
      <c r="M7" s="42">
        <v>15578</v>
      </c>
      <c r="N7" s="42">
        <v>116537</v>
      </c>
      <c r="O7" s="42">
        <v>18</v>
      </c>
      <c r="P7" s="42">
        <v>15</v>
      </c>
    </row>
    <row r="8" spans="1:16" ht="15" thickBot="1" x14ac:dyDescent="0.35">
      <c r="A8" s="21">
        <v>70801030301</v>
      </c>
      <c r="B8" s="43">
        <v>144</v>
      </c>
      <c r="C8" s="23">
        <v>11309</v>
      </c>
      <c r="D8" s="22" t="s">
        <v>24</v>
      </c>
      <c r="E8" s="46">
        <v>4017</v>
      </c>
      <c r="F8" s="46">
        <v>215041</v>
      </c>
      <c r="G8" s="25">
        <v>3408940</v>
      </c>
      <c r="H8" s="25">
        <v>5166811</v>
      </c>
      <c r="I8" s="26">
        <v>29.91</v>
      </c>
      <c r="J8" s="26">
        <v>39.770000000000003</v>
      </c>
      <c r="K8" s="27">
        <v>3.38</v>
      </c>
      <c r="L8" s="27">
        <v>4.8899999999999997</v>
      </c>
      <c r="M8" s="43">
        <v>14329</v>
      </c>
      <c r="N8" s="43">
        <v>127476</v>
      </c>
      <c r="O8" s="43">
        <v>19</v>
      </c>
      <c r="P8" s="43">
        <v>15</v>
      </c>
    </row>
    <row r="9" spans="1:16" ht="15.6" thickTop="1" thickBot="1" x14ac:dyDescent="0.35">
      <c r="A9" s="28">
        <v>70801030302</v>
      </c>
      <c r="B9" s="29">
        <v>51</v>
      </c>
      <c r="C9" s="30">
        <v>6760</v>
      </c>
      <c r="D9" s="31">
        <v>276</v>
      </c>
      <c r="E9" s="30">
        <v>1798</v>
      </c>
      <c r="F9" s="30">
        <v>89325</v>
      </c>
      <c r="G9" s="32">
        <v>1276898</v>
      </c>
      <c r="H9" s="32">
        <v>1732805</v>
      </c>
      <c r="I9" s="33">
        <v>30.09</v>
      </c>
      <c r="J9" s="33">
        <v>36.81</v>
      </c>
      <c r="K9" s="34">
        <v>0.36</v>
      </c>
      <c r="L9" s="34">
        <v>0.5</v>
      </c>
      <c r="M9" s="29">
        <v>6056</v>
      </c>
      <c r="N9" s="29">
        <v>51482</v>
      </c>
      <c r="O9" s="44">
        <v>23</v>
      </c>
      <c r="P9" s="66">
        <v>19</v>
      </c>
    </row>
    <row r="10" spans="1:16" ht="15.6" thickTop="1" thickBot="1" x14ac:dyDescent="0.35">
      <c r="A10" s="14">
        <v>70802060603</v>
      </c>
      <c r="B10" s="42">
        <v>106</v>
      </c>
      <c r="C10" s="45">
        <v>16740</v>
      </c>
      <c r="D10" s="17">
        <v>326</v>
      </c>
      <c r="E10" s="45">
        <v>4034</v>
      </c>
      <c r="F10" s="45">
        <v>186421</v>
      </c>
      <c r="G10" s="18">
        <v>2697144</v>
      </c>
      <c r="H10" s="18">
        <v>3502174</v>
      </c>
      <c r="I10" s="19">
        <v>30.47</v>
      </c>
      <c r="J10" s="19">
        <v>36.159999999999997</v>
      </c>
      <c r="K10" s="20">
        <v>0.24</v>
      </c>
      <c r="L10" s="20">
        <v>0.33</v>
      </c>
      <c r="M10" s="42">
        <v>18607</v>
      </c>
      <c r="N10" s="42">
        <v>143512</v>
      </c>
      <c r="O10" s="15">
        <v>28</v>
      </c>
      <c r="P10" s="42">
        <v>19</v>
      </c>
    </row>
    <row r="11" spans="1:16" ht="15" thickBot="1" x14ac:dyDescent="0.35">
      <c r="A11" s="14">
        <v>70801010301</v>
      </c>
      <c r="B11" s="15">
        <v>78</v>
      </c>
      <c r="C11" s="16">
        <v>12978</v>
      </c>
      <c r="D11" s="17">
        <v>262</v>
      </c>
      <c r="E11" s="16">
        <v>2935</v>
      </c>
      <c r="F11" s="16">
        <v>138633</v>
      </c>
      <c r="G11" s="18">
        <v>1941070</v>
      </c>
      <c r="H11" s="18">
        <v>2539412</v>
      </c>
      <c r="I11" s="19">
        <v>30.39</v>
      </c>
      <c r="J11" s="19">
        <v>35.47</v>
      </c>
      <c r="K11" s="63">
        <v>0.2</v>
      </c>
      <c r="L11" s="63">
        <v>0.26</v>
      </c>
      <c r="M11" s="15">
        <v>10161</v>
      </c>
      <c r="N11" s="15">
        <v>83058</v>
      </c>
      <c r="O11" s="15">
        <v>29</v>
      </c>
      <c r="P11" s="42">
        <v>20</v>
      </c>
    </row>
    <row r="12" spans="1:16" ht="15" thickBot="1" x14ac:dyDescent="0.35">
      <c r="A12" s="14">
        <v>70802060503</v>
      </c>
      <c r="B12" s="15">
        <v>45</v>
      </c>
      <c r="C12" s="16">
        <v>2829</v>
      </c>
      <c r="D12" s="17">
        <v>174</v>
      </c>
      <c r="E12" s="16">
        <v>1246</v>
      </c>
      <c r="F12" s="16">
        <v>70884</v>
      </c>
      <c r="G12" s="18">
        <v>1117525</v>
      </c>
      <c r="H12" s="18">
        <v>1595795</v>
      </c>
      <c r="I12" s="19">
        <v>33.869999999999997</v>
      </c>
      <c r="J12" s="19">
        <v>42.93</v>
      </c>
      <c r="K12" s="20">
        <v>0.47</v>
      </c>
      <c r="L12" s="20">
        <v>0.7</v>
      </c>
      <c r="M12" s="15">
        <v>4398</v>
      </c>
      <c r="N12" s="15">
        <v>41643</v>
      </c>
      <c r="O12" s="42">
        <v>26</v>
      </c>
      <c r="P12" s="15">
        <v>21</v>
      </c>
    </row>
    <row r="13" spans="1:16" ht="15" thickBot="1" x14ac:dyDescent="0.35">
      <c r="A13" s="14">
        <v>70802060802</v>
      </c>
      <c r="B13" s="15">
        <v>49</v>
      </c>
      <c r="C13" s="16">
        <v>3211</v>
      </c>
      <c r="D13" s="48">
        <v>566</v>
      </c>
      <c r="E13" s="16">
        <v>1348</v>
      </c>
      <c r="F13" s="16">
        <v>76657</v>
      </c>
      <c r="G13" s="18">
        <v>1357472</v>
      </c>
      <c r="H13" s="18">
        <v>2049017</v>
      </c>
      <c r="I13" s="19">
        <v>32.86</v>
      </c>
      <c r="J13" s="19">
        <v>44.51</v>
      </c>
      <c r="K13" s="20">
        <v>0.39</v>
      </c>
      <c r="L13" s="20">
        <v>0.62</v>
      </c>
      <c r="M13" s="15">
        <v>4859</v>
      </c>
      <c r="N13" s="15">
        <v>44848</v>
      </c>
      <c r="O13" s="15">
        <v>33</v>
      </c>
      <c r="P13" s="15">
        <v>22</v>
      </c>
    </row>
    <row r="14" spans="1:16" ht="15" thickBot="1" x14ac:dyDescent="0.35">
      <c r="A14" s="21">
        <v>70801010302</v>
      </c>
      <c r="B14" s="22">
        <v>11</v>
      </c>
      <c r="C14" s="23">
        <v>1222</v>
      </c>
      <c r="D14" s="22" t="s">
        <v>24</v>
      </c>
      <c r="E14" s="22">
        <v>414</v>
      </c>
      <c r="F14" s="23">
        <v>20402</v>
      </c>
      <c r="G14" s="25">
        <v>230432</v>
      </c>
      <c r="H14" s="25">
        <v>354625</v>
      </c>
      <c r="I14" s="26">
        <v>28.62</v>
      </c>
      <c r="J14" s="26">
        <v>37.29</v>
      </c>
      <c r="K14" s="27">
        <v>0.39</v>
      </c>
      <c r="L14" s="27">
        <v>0.59</v>
      </c>
      <c r="M14" s="22">
        <v>1441</v>
      </c>
      <c r="N14" s="22">
        <v>12169</v>
      </c>
      <c r="O14" s="22">
        <v>33</v>
      </c>
      <c r="P14" s="22">
        <v>22</v>
      </c>
    </row>
    <row r="15" spans="1:16" ht="15.6" thickTop="1" thickBot="1" x14ac:dyDescent="0.35">
      <c r="A15" s="28">
        <v>70801030409</v>
      </c>
      <c r="B15" s="29">
        <v>52</v>
      </c>
      <c r="C15" s="30">
        <v>5824</v>
      </c>
      <c r="D15" s="31">
        <v>300</v>
      </c>
      <c r="E15" s="30">
        <v>1609</v>
      </c>
      <c r="F15" s="30">
        <v>82209</v>
      </c>
      <c r="G15" s="32">
        <v>1402996</v>
      </c>
      <c r="H15" s="32">
        <v>1907726</v>
      </c>
      <c r="I15" s="33">
        <v>28.61</v>
      </c>
      <c r="J15" s="33">
        <v>35.229999999999997</v>
      </c>
      <c r="K15" s="34">
        <v>0.35</v>
      </c>
      <c r="L15" s="34">
        <v>0.53</v>
      </c>
      <c r="M15" s="29">
        <v>5635</v>
      </c>
      <c r="N15" s="29">
        <v>48859</v>
      </c>
      <c r="O15" s="29">
        <v>27</v>
      </c>
      <c r="P15" s="35">
        <v>23</v>
      </c>
    </row>
    <row r="16" spans="1:16" ht="15.6" thickTop="1" thickBot="1" x14ac:dyDescent="0.35">
      <c r="A16" s="21">
        <v>70802060602</v>
      </c>
      <c r="B16" s="43">
        <v>144</v>
      </c>
      <c r="C16" s="46">
        <v>31121</v>
      </c>
      <c r="D16" s="49">
        <v>456</v>
      </c>
      <c r="E16" s="46">
        <v>6373</v>
      </c>
      <c r="F16" s="46">
        <v>289444</v>
      </c>
      <c r="G16" s="25">
        <v>3793187</v>
      </c>
      <c r="H16" s="25">
        <v>4755735</v>
      </c>
      <c r="I16" s="26">
        <v>31.24</v>
      </c>
      <c r="J16" s="26">
        <v>35.81</v>
      </c>
      <c r="K16" s="27">
        <v>0.28000000000000003</v>
      </c>
      <c r="L16" s="27">
        <v>0.38</v>
      </c>
      <c r="M16" s="43">
        <v>17051</v>
      </c>
      <c r="N16" s="43">
        <v>142267</v>
      </c>
      <c r="O16" s="22">
        <v>30</v>
      </c>
      <c r="P16" s="22">
        <v>23</v>
      </c>
    </row>
    <row r="17" spans="1:16" ht="15.6" thickTop="1" thickBot="1" x14ac:dyDescent="0.35">
      <c r="A17" s="28">
        <v>70801010601</v>
      </c>
      <c r="B17" s="29">
        <v>13</v>
      </c>
      <c r="C17" s="30">
        <v>2806</v>
      </c>
      <c r="D17" s="31">
        <v>70</v>
      </c>
      <c r="E17" s="29">
        <v>636</v>
      </c>
      <c r="F17" s="30">
        <v>32012</v>
      </c>
      <c r="G17" s="32">
        <v>325963</v>
      </c>
      <c r="H17" s="32">
        <v>502072</v>
      </c>
      <c r="I17" s="33">
        <v>32.049999999999997</v>
      </c>
      <c r="J17" s="33">
        <v>39.869999999999997</v>
      </c>
      <c r="K17" s="64">
        <v>0.15</v>
      </c>
      <c r="L17" s="64">
        <v>0.25</v>
      </c>
      <c r="M17" s="29">
        <v>2083</v>
      </c>
      <c r="N17" s="29">
        <v>18941</v>
      </c>
      <c r="O17" s="29">
        <v>36</v>
      </c>
      <c r="P17" s="35">
        <v>23</v>
      </c>
    </row>
    <row r="18" spans="1:16" ht="15.6" thickTop="1" thickBot="1" x14ac:dyDescent="0.35">
      <c r="A18" s="28">
        <v>70801030406</v>
      </c>
      <c r="B18" s="44">
        <v>155</v>
      </c>
      <c r="C18" s="47">
        <v>30598</v>
      </c>
      <c r="D18" s="50">
        <v>400</v>
      </c>
      <c r="E18" s="47">
        <v>6584</v>
      </c>
      <c r="F18" s="47">
        <v>263367</v>
      </c>
      <c r="G18" s="32">
        <v>3458144</v>
      </c>
      <c r="H18" s="32">
        <v>4480550</v>
      </c>
      <c r="I18" s="61">
        <v>26.4</v>
      </c>
      <c r="J18" s="61">
        <v>31.09</v>
      </c>
      <c r="K18" s="34">
        <v>0.25</v>
      </c>
      <c r="L18" s="34">
        <v>0.34</v>
      </c>
      <c r="M18" s="44">
        <v>22197</v>
      </c>
      <c r="N18" s="44">
        <v>160650</v>
      </c>
      <c r="O18" s="29">
        <v>30</v>
      </c>
      <c r="P18" s="35">
        <v>24</v>
      </c>
    </row>
    <row r="19" spans="1:16" ht="15.6" thickTop="1" thickBot="1" x14ac:dyDescent="0.35">
      <c r="A19" s="14">
        <v>70802060801</v>
      </c>
      <c r="B19" s="15">
        <v>51</v>
      </c>
      <c r="C19" s="16">
        <v>11539</v>
      </c>
      <c r="D19" s="17">
        <v>8</v>
      </c>
      <c r="E19" s="16">
        <v>2377</v>
      </c>
      <c r="F19" s="16">
        <v>103775</v>
      </c>
      <c r="G19" s="18">
        <v>1121965</v>
      </c>
      <c r="H19" s="18">
        <v>1613718</v>
      </c>
      <c r="I19" s="19">
        <v>26.77</v>
      </c>
      <c r="J19" s="19">
        <v>33.42</v>
      </c>
      <c r="K19" s="63">
        <v>0.2</v>
      </c>
      <c r="L19" s="63">
        <v>0.27</v>
      </c>
      <c r="M19" s="15">
        <v>7826</v>
      </c>
      <c r="N19" s="15">
        <v>62232</v>
      </c>
      <c r="O19" s="15">
        <v>34</v>
      </c>
      <c r="P19" s="15">
        <v>24</v>
      </c>
    </row>
    <row r="20" spans="1:16" ht="15" thickBot="1" x14ac:dyDescent="0.35">
      <c r="A20" s="21">
        <v>70802060803</v>
      </c>
      <c r="B20" s="22">
        <v>46</v>
      </c>
      <c r="C20" s="23">
        <v>7313</v>
      </c>
      <c r="D20" s="24">
        <v>70</v>
      </c>
      <c r="E20" s="23">
        <v>1871</v>
      </c>
      <c r="F20" s="23">
        <v>88883</v>
      </c>
      <c r="G20" s="25">
        <v>1092183</v>
      </c>
      <c r="H20" s="25">
        <v>1538929</v>
      </c>
      <c r="I20" s="26">
        <v>29.32</v>
      </c>
      <c r="J20" s="26">
        <v>36.159999999999997</v>
      </c>
      <c r="K20" s="27">
        <v>4.79</v>
      </c>
      <c r="L20" s="27">
        <v>5.48</v>
      </c>
      <c r="M20" s="22">
        <v>6402</v>
      </c>
      <c r="N20" s="22">
        <v>53438</v>
      </c>
      <c r="O20" s="22">
        <v>37</v>
      </c>
      <c r="P20" s="22">
        <v>24</v>
      </c>
    </row>
    <row r="21" spans="1:16" ht="15.6" thickTop="1" thickBot="1" x14ac:dyDescent="0.35">
      <c r="A21" s="28">
        <v>70801010405</v>
      </c>
      <c r="B21" s="29">
        <v>23</v>
      </c>
      <c r="C21" s="30">
        <v>3081</v>
      </c>
      <c r="D21" s="31">
        <v>32</v>
      </c>
      <c r="E21" s="30">
        <v>1125</v>
      </c>
      <c r="F21" s="30">
        <v>53804</v>
      </c>
      <c r="G21" s="32">
        <v>611908</v>
      </c>
      <c r="H21" s="32">
        <v>826076</v>
      </c>
      <c r="I21" s="33">
        <v>28.38</v>
      </c>
      <c r="J21" s="33">
        <v>35.11</v>
      </c>
      <c r="K21" s="34">
        <v>0.23</v>
      </c>
      <c r="L21" s="34">
        <v>0.36</v>
      </c>
      <c r="M21" s="29">
        <v>3776</v>
      </c>
      <c r="N21" s="29">
        <v>32000</v>
      </c>
      <c r="O21" s="29">
        <v>38</v>
      </c>
      <c r="P21" s="35">
        <v>24</v>
      </c>
    </row>
    <row r="22" spans="1:16" ht="15.6" thickTop="1" thickBot="1" x14ac:dyDescent="0.35">
      <c r="A22" s="28">
        <v>70801010602</v>
      </c>
      <c r="B22" s="29">
        <v>53</v>
      </c>
      <c r="C22" s="30">
        <v>10387</v>
      </c>
      <c r="D22" s="50">
        <v>397</v>
      </c>
      <c r="E22" s="30">
        <v>2521</v>
      </c>
      <c r="F22" s="30">
        <v>125357</v>
      </c>
      <c r="G22" s="32">
        <v>1452275</v>
      </c>
      <c r="H22" s="32">
        <v>1981225</v>
      </c>
      <c r="I22" s="33">
        <v>33.299999999999997</v>
      </c>
      <c r="J22" s="33">
        <v>38.89</v>
      </c>
      <c r="K22" s="64">
        <v>0.2</v>
      </c>
      <c r="L22" s="64">
        <v>0.26</v>
      </c>
      <c r="M22" s="29">
        <v>8472</v>
      </c>
      <c r="N22" s="29">
        <v>74214</v>
      </c>
      <c r="O22" s="44">
        <v>27</v>
      </c>
      <c r="P22" s="35">
        <v>25</v>
      </c>
    </row>
    <row r="23" spans="1:16" ht="15.6" thickTop="1" thickBot="1" x14ac:dyDescent="0.35">
      <c r="A23" s="28">
        <v>70801010403</v>
      </c>
      <c r="B23" s="29">
        <v>23</v>
      </c>
      <c r="C23" s="30">
        <v>3499</v>
      </c>
      <c r="D23" s="29" t="s">
        <v>24</v>
      </c>
      <c r="E23" s="29">
        <v>693</v>
      </c>
      <c r="F23" s="30">
        <v>30885</v>
      </c>
      <c r="G23" s="32">
        <v>416343</v>
      </c>
      <c r="H23" s="32">
        <v>698430</v>
      </c>
      <c r="I23" s="61">
        <v>23.55</v>
      </c>
      <c r="J23" s="61">
        <v>31.02</v>
      </c>
      <c r="K23" s="64">
        <v>0.15</v>
      </c>
      <c r="L23" s="64">
        <v>0.22</v>
      </c>
      <c r="M23" s="29">
        <v>2462</v>
      </c>
      <c r="N23" s="29">
        <v>18746</v>
      </c>
      <c r="O23" s="29">
        <v>40</v>
      </c>
      <c r="P23" s="35">
        <v>25</v>
      </c>
    </row>
    <row r="24" spans="1:16" ht="15.6" thickTop="1" thickBot="1" x14ac:dyDescent="0.35">
      <c r="A24" s="28">
        <v>70801030603</v>
      </c>
      <c r="B24" s="44">
        <v>100</v>
      </c>
      <c r="C24" s="30">
        <v>9513</v>
      </c>
      <c r="D24" s="31">
        <v>176</v>
      </c>
      <c r="E24" s="30">
        <v>2443</v>
      </c>
      <c r="F24" s="30">
        <v>120490</v>
      </c>
      <c r="G24" s="32">
        <v>2468706</v>
      </c>
      <c r="H24" s="32">
        <v>3212518</v>
      </c>
      <c r="I24" s="33">
        <v>27.32</v>
      </c>
      <c r="J24" s="33">
        <v>33.9</v>
      </c>
      <c r="K24" s="34">
        <v>0.4</v>
      </c>
      <c r="L24" s="34">
        <v>0.56999999999999995</v>
      </c>
      <c r="M24" s="29">
        <v>9225</v>
      </c>
      <c r="N24" s="29">
        <v>75869</v>
      </c>
      <c r="O24" s="29">
        <v>33</v>
      </c>
      <c r="P24" s="35">
        <v>27</v>
      </c>
    </row>
    <row r="25" spans="1:16" ht="15.6" thickTop="1" thickBot="1" x14ac:dyDescent="0.35">
      <c r="A25" s="14">
        <v>70801010603</v>
      </c>
      <c r="B25" s="15">
        <v>6</v>
      </c>
      <c r="C25" s="16">
        <v>1277</v>
      </c>
      <c r="D25" s="17">
        <v>85</v>
      </c>
      <c r="E25" s="15">
        <v>443</v>
      </c>
      <c r="F25" s="16">
        <v>22050</v>
      </c>
      <c r="G25" s="18">
        <v>167380</v>
      </c>
      <c r="H25" s="18">
        <v>227111</v>
      </c>
      <c r="I25" s="19">
        <v>34.18</v>
      </c>
      <c r="J25" s="19">
        <v>39.770000000000003</v>
      </c>
      <c r="K25" s="20">
        <v>0.23</v>
      </c>
      <c r="L25" s="20">
        <v>0.31</v>
      </c>
      <c r="M25" s="15">
        <v>1425</v>
      </c>
      <c r="N25" s="15">
        <v>12954</v>
      </c>
      <c r="O25" s="15">
        <v>33</v>
      </c>
      <c r="P25" s="15">
        <v>27</v>
      </c>
    </row>
    <row r="26" spans="1:16" ht="15" thickBot="1" x14ac:dyDescent="0.35">
      <c r="A26" s="14">
        <v>70802060302</v>
      </c>
      <c r="B26" s="15">
        <v>61</v>
      </c>
      <c r="C26" s="45">
        <v>14168</v>
      </c>
      <c r="D26" s="17">
        <v>115</v>
      </c>
      <c r="E26" s="16">
        <v>2823</v>
      </c>
      <c r="F26" s="16">
        <v>133212</v>
      </c>
      <c r="G26" s="18">
        <v>1616668</v>
      </c>
      <c r="H26" s="18">
        <v>2024905</v>
      </c>
      <c r="I26" s="19">
        <v>30.54</v>
      </c>
      <c r="J26" s="19">
        <v>35.51</v>
      </c>
      <c r="K26" s="20">
        <v>0.22</v>
      </c>
      <c r="L26" s="63">
        <v>0.28000000000000003</v>
      </c>
      <c r="M26" s="15">
        <v>9576</v>
      </c>
      <c r="N26" s="15">
        <v>79837</v>
      </c>
      <c r="O26" s="15">
        <v>35</v>
      </c>
      <c r="P26" s="15">
        <v>27</v>
      </c>
    </row>
    <row r="27" spans="1:16" ht="15" thickBot="1" x14ac:dyDescent="0.35">
      <c r="A27" s="14">
        <v>70801010604</v>
      </c>
      <c r="B27" s="15">
        <v>21</v>
      </c>
      <c r="C27" s="16">
        <v>2585</v>
      </c>
      <c r="D27" s="17">
        <v>81</v>
      </c>
      <c r="E27" s="15">
        <v>973</v>
      </c>
      <c r="F27" s="16">
        <v>50713</v>
      </c>
      <c r="G27" s="18">
        <v>582274</v>
      </c>
      <c r="H27" s="18">
        <v>808414</v>
      </c>
      <c r="I27" s="19">
        <v>34.36</v>
      </c>
      <c r="J27" s="19">
        <v>40.71</v>
      </c>
      <c r="K27" s="20">
        <v>0.28000000000000003</v>
      </c>
      <c r="L27" s="20">
        <v>0.39</v>
      </c>
      <c r="M27" s="15">
        <v>3255</v>
      </c>
      <c r="N27" s="15">
        <v>29833</v>
      </c>
      <c r="O27" s="15">
        <v>39</v>
      </c>
      <c r="P27" s="15">
        <v>27</v>
      </c>
    </row>
    <row r="28" spans="1:16" ht="15" thickBot="1" x14ac:dyDescent="0.35">
      <c r="A28" s="21">
        <v>70802060804</v>
      </c>
      <c r="B28" s="22">
        <v>44</v>
      </c>
      <c r="C28" s="23">
        <v>3201</v>
      </c>
      <c r="D28" s="24">
        <v>201</v>
      </c>
      <c r="E28" s="23">
        <v>1467</v>
      </c>
      <c r="F28" s="23">
        <v>79553</v>
      </c>
      <c r="G28" s="25">
        <v>1123620</v>
      </c>
      <c r="H28" s="25">
        <v>1659827</v>
      </c>
      <c r="I28" s="26">
        <v>28.33</v>
      </c>
      <c r="J28" s="26">
        <v>38.65</v>
      </c>
      <c r="K28" s="27">
        <v>0.86</v>
      </c>
      <c r="L28" s="27">
        <v>1.24</v>
      </c>
      <c r="M28" s="22">
        <v>5011</v>
      </c>
      <c r="N28" s="22">
        <v>46912</v>
      </c>
      <c r="O28" s="22">
        <v>41</v>
      </c>
      <c r="P28" s="22">
        <v>27</v>
      </c>
    </row>
    <row r="29" spans="1:16" ht="15.6" thickTop="1" thickBot="1" x14ac:dyDescent="0.35">
      <c r="A29" s="28">
        <v>70802060805</v>
      </c>
      <c r="B29" s="29">
        <v>8</v>
      </c>
      <c r="C29" s="29">
        <v>509</v>
      </c>
      <c r="D29" s="31">
        <v>105</v>
      </c>
      <c r="E29" s="29">
        <v>261</v>
      </c>
      <c r="F29" s="30">
        <v>14362</v>
      </c>
      <c r="G29" s="32">
        <v>145009</v>
      </c>
      <c r="H29" s="32">
        <v>304484</v>
      </c>
      <c r="I29" s="33">
        <v>27.19</v>
      </c>
      <c r="J29" s="33">
        <v>37.869999999999997</v>
      </c>
      <c r="K29" s="34">
        <v>0.38</v>
      </c>
      <c r="L29" s="34">
        <v>0.68</v>
      </c>
      <c r="M29" s="29">
        <v>856</v>
      </c>
      <c r="N29" s="29">
        <v>8371</v>
      </c>
      <c r="O29" s="29">
        <v>42</v>
      </c>
      <c r="P29" s="35">
        <v>28</v>
      </c>
    </row>
    <row r="30" spans="1:16" ht="15.6" thickTop="1" thickBot="1" x14ac:dyDescent="0.35">
      <c r="A30" s="14">
        <v>70802060407</v>
      </c>
      <c r="B30" s="15">
        <v>10</v>
      </c>
      <c r="C30" s="16">
        <v>3169</v>
      </c>
      <c r="D30" s="17">
        <v>28</v>
      </c>
      <c r="E30" s="15">
        <v>624</v>
      </c>
      <c r="F30" s="16">
        <v>27856</v>
      </c>
      <c r="G30" s="18">
        <v>282917</v>
      </c>
      <c r="H30" s="18">
        <v>344284</v>
      </c>
      <c r="I30" s="19">
        <v>30.39</v>
      </c>
      <c r="J30" s="19">
        <v>34.42</v>
      </c>
      <c r="K30" s="63">
        <v>0.17</v>
      </c>
      <c r="L30" s="63">
        <v>0.2</v>
      </c>
      <c r="M30" s="15">
        <v>2040</v>
      </c>
      <c r="N30" s="15">
        <v>16635</v>
      </c>
      <c r="O30" s="15">
        <v>43</v>
      </c>
      <c r="P30" s="15">
        <v>29</v>
      </c>
    </row>
    <row r="31" spans="1:16" ht="15" thickBot="1" x14ac:dyDescent="0.35">
      <c r="A31" s="14">
        <v>70801030605</v>
      </c>
      <c r="B31" s="15">
        <v>38</v>
      </c>
      <c r="C31" s="16">
        <v>5148</v>
      </c>
      <c r="D31" s="17">
        <v>7</v>
      </c>
      <c r="E31" s="16">
        <v>1287</v>
      </c>
      <c r="F31" s="16">
        <v>57288</v>
      </c>
      <c r="G31" s="18">
        <v>829951</v>
      </c>
      <c r="H31" s="18">
        <v>1079059</v>
      </c>
      <c r="I31" s="59">
        <v>26.01</v>
      </c>
      <c r="J31" s="19">
        <v>31.59</v>
      </c>
      <c r="K31" s="20">
        <v>0.22</v>
      </c>
      <c r="L31" s="20">
        <v>0.32</v>
      </c>
      <c r="M31" s="15">
        <v>4341</v>
      </c>
      <c r="N31" s="15">
        <v>34424</v>
      </c>
      <c r="O31" s="15">
        <v>44</v>
      </c>
      <c r="P31" s="15">
        <v>29</v>
      </c>
    </row>
    <row r="32" spans="1:16" ht="15" thickBot="1" x14ac:dyDescent="0.35">
      <c r="A32" s="14">
        <v>70802060704</v>
      </c>
      <c r="B32" s="15">
        <v>85</v>
      </c>
      <c r="C32" s="45">
        <v>13853</v>
      </c>
      <c r="D32" s="48">
        <v>484</v>
      </c>
      <c r="E32" s="16">
        <v>2601</v>
      </c>
      <c r="F32" s="16">
        <v>113306</v>
      </c>
      <c r="G32" s="18">
        <v>1955362</v>
      </c>
      <c r="H32" s="18">
        <v>2409984</v>
      </c>
      <c r="I32" s="19">
        <v>28.48</v>
      </c>
      <c r="J32" s="19">
        <v>33.29</v>
      </c>
      <c r="K32" s="20">
        <v>0.26</v>
      </c>
      <c r="L32" s="20">
        <v>0.35</v>
      </c>
      <c r="M32" s="15">
        <v>9117</v>
      </c>
      <c r="N32" s="15">
        <v>68812</v>
      </c>
      <c r="O32" s="15">
        <v>45</v>
      </c>
      <c r="P32" s="15">
        <v>29</v>
      </c>
    </row>
    <row r="33" spans="1:16" ht="15" thickBot="1" x14ac:dyDescent="0.35">
      <c r="A33" s="14">
        <v>70801030606</v>
      </c>
      <c r="B33" s="15">
        <v>47</v>
      </c>
      <c r="C33" s="16">
        <v>5398</v>
      </c>
      <c r="D33" s="17">
        <v>157</v>
      </c>
      <c r="E33" s="16">
        <v>1262</v>
      </c>
      <c r="F33" s="16">
        <v>58087</v>
      </c>
      <c r="G33" s="18">
        <v>1124780</v>
      </c>
      <c r="H33" s="18">
        <v>1289451</v>
      </c>
      <c r="I33" s="19">
        <v>30.63</v>
      </c>
      <c r="J33" s="19">
        <v>34.47</v>
      </c>
      <c r="K33" s="20">
        <v>0.28000000000000003</v>
      </c>
      <c r="L33" s="20">
        <v>0.35</v>
      </c>
      <c r="M33" s="15">
        <v>4367</v>
      </c>
      <c r="N33" s="15">
        <v>34919</v>
      </c>
      <c r="O33" s="15">
        <v>45</v>
      </c>
      <c r="P33" s="15">
        <v>29</v>
      </c>
    </row>
    <row r="34" spans="1:16" ht="15" thickBot="1" x14ac:dyDescent="0.35">
      <c r="A34" s="21">
        <v>70802060406</v>
      </c>
      <c r="B34" s="22">
        <v>26</v>
      </c>
      <c r="C34" s="23">
        <v>6137</v>
      </c>
      <c r="D34" s="24">
        <v>161</v>
      </c>
      <c r="E34" s="23">
        <v>1237</v>
      </c>
      <c r="F34" s="23">
        <v>58828</v>
      </c>
      <c r="G34" s="25">
        <v>605695</v>
      </c>
      <c r="H34" s="25">
        <v>807172</v>
      </c>
      <c r="I34" s="26">
        <v>27.73</v>
      </c>
      <c r="J34" s="26">
        <v>32.15</v>
      </c>
      <c r="K34" s="27">
        <v>4.2</v>
      </c>
      <c r="L34" s="27">
        <v>6.1</v>
      </c>
      <c r="M34" s="22">
        <v>4215</v>
      </c>
      <c r="N34" s="22">
        <v>35109</v>
      </c>
      <c r="O34" s="22">
        <v>38</v>
      </c>
      <c r="P34" s="22">
        <v>30</v>
      </c>
    </row>
    <row r="35" spans="1:16" ht="15.6" thickTop="1" thickBot="1" x14ac:dyDescent="0.35">
      <c r="A35" s="28">
        <v>70801010605</v>
      </c>
      <c r="B35" s="29">
        <v>17</v>
      </c>
      <c r="C35" s="30">
        <v>2472</v>
      </c>
      <c r="D35" s="31">
        <v>169</v>
      </c>
      <c r="E35" s="29">
        <v>844</v>
      </c>
      <c r="F35" s="30">
        <v>39199</v>
      </c>
      <c r="G35" s="32">
        <v>391582</v>
      </c>
      <c r="H35" s="32">
        <v>561214</v>
      </c>
      <c r="I35" s="33">
        <v>31.31</v>
      </c>
      <c r="J35" s="33">
        <v>36.51</v>
      </c>
      <c r="K35" s="34">
        <v>0.24</v>
      </c>
      <c r="L35" s="34">
        <v>0.31</v>
      </c>
      <c r="M35" s="29">
        <v>2719</v>
      </c>
      <c r="N35" s="29">
        <v>23226</v>
      </c>
      <c r="O35" s="29">
        <v>40</v>
      </c>
      <c r="P35" s="35">
        <v>30</v>
      </c>
    </row>
    <row r="36" spans="1:16" ht="15.6" thickTop="1" thickBot="1" x14ac:dyDescent="0.35">
      <c r="A36" s="14">
        <v>70801030404</v>
      </c>
      <c r="B36" s="15">
        <v>22</v>
      </c>
      <c r="C36" s="15">
        <v>750</v>
      </c>
      <c r="D36" s="17">
        <v>64</v>
      </c>
      <c r="E36" s="15">
        <v>800</v>
      </c>
      <c r="F36" s="16">
        <v>45391</v>
      </c>
      <c r="G36" s="18">
        <v>461072</v>
      </c>
      <c r="H36" s="18">
        <v>778855</v>
      </c>
      <c r="I36" s="59">
        <v>26.12</v>
      </c>
      <c r="J36" s="19">
        <v>37.32</v>
      </c>
      <c r="K36" s="20">
        <v>0.57999999999999996</v>
      </c>
      <c r="L36" s="20">
        <v>0.98</v>
      </c>
      <c r="M36" s="15">
        <v>2671</v>
      </c>
      <c r="N36" s="15">
        <v>26519</v>
      </c>
      <c r="O36" s="15">
        <v>37</v>
      </c>
      <c r="P36" s="36">
        <v>32</v>
      </c>
    </row>
    <row r="37" spans="1:16" ht="15" thickBot="1" x14ac:dyDescent="0.35">
      <c r="A37" s="21">
        <v>70802060301</v>
      </c>
      <c r="B37" s="22">
        <v>35</v>
      </c>
      <c r="C37" s="23">
        <v>6445</v>
      </c>
      <c r="D37" s="24">
        <v>118</v>
      </c>
      <c r="E37" s="23">
        <v>1550</v>
      </c>
      <c r="F37" s="23">
        <v>78175</v>
      </c>
      <c r="G37" s="25">
        <v>1049554</v>
      </c>
      <c r="H37" s="25">
        <v>1339491</v>
      </c>
      <c r="I37" s="26">
        <v>34.729999999999997</v>
      </c>
      <c r="J37" s="26">
        <v>39.950000000000003</v>
      </c>
      <c r="K37" s="27">
        <v>0.47</v>
      </c>
      <c r="L37" s="27">
        <v>0.66</v>
      </c>
      <c r="M37" s="22">
        <v>5218</v>
      </c>
      <c r="N37" s="22">
        <v>45899</v>
      </c>
      <c r="O37" s="22">
        <v>41</v>
      </c>
      <c r="P37" s="29">
        <v>32</v>
      </c>
    </row>
    <row r="38" spans="1:16" ht="15.6" thickTop="1" thickBot="1" x14ac:dyDescent="0.35">
      <c r="A38" s="28">
        <v>70801030202</v>
      </c>
      <c r="B38" s="29">
        <v>84</v>
      </c>
      <c r="C38" s="30">
        <v>9852</v>
      </c>
      <c r="D38" s="31">
        <v>252</v>
      </c>
      <c r="E38" s="30">
        <v>2888</v>
      </c>
      <c r="F38" s="30">
        <v>148531</v>
      </c>
      <c r="G38" s="32">
        <v>2351483</v>
      </c>
      <c r="H38" s="32">
        <v>2832225</v>
      </c>
      <c r="I38" s="33">
        <v>34.21</v>
      </c>
      <c r="J38" s="33">
        <v>38.380000000000003</v>
      </c>
      <c r="K38" s="34">
        <v>0.41</v>
      </c>
      <c r="L38" s="34">
        <v>0.53</v>
      </c>
      <c r="M38" s="29">
        <v>10216</v>
      </c>
      <c r="N38" s="29">
        <v>88360</v>
      </c>
      <c r="O38" s="29">
        <v>43</v>
      </c>
      <c r="P38" s="35">
        <v>33</v>
      </c>
    </row>
    <row r="39" spans="1:16" ht="15.6" thickTop="1" thickBot="1" x14ac:dyDescent="0.35">
      <c r="A39" s="28">
        <v>70801030607</v>
      </c>
      <c r="B39" s="29">
        <v>21</v>
      </c>
      <c r="C39" s="30">
        <v>3489</v>
      </c>
      <c r="D39" s="29"/>
      <c r="E39" s="29">
        <v>818</v>
      </c>
      <c r="F39" s="30">
        <v>35490</v>
      </c>
      <c r="G39" s="32">
        <v>397132</v>
      </c>
      <c r="H39" s="32">
        <v>553346</v>
      </c>
      <c r="I39" s="61">
        <v>24.85</v>
      </c>
      <c r="J39" s="61">
        <v>29.88</v>
      </c>
      <c r="K39" s="64">
        <v>0.22</v>
      </c>
      <c r="L39" s="34">
        <v>0.34</v>
      </c>
      <c r="M39" s="29">
        <v>2672</v>
      </c>
      <c r="N39" s="29">
        <v>21267</v>
      </c>
      <c r="O39" s="29">
        <v>51</v>
      </c>
      <c r="P39" s="35">
        <v>33</v>
      </c>
    </row>
    <row r="40" spans="1:16" ht="15.6" thickTop="1" thickBot="1" x14ac:dyDescent="0.35">
      <c r="A40" s="28">
        <v>70801030401</v>
      </c>
      <c r="B40" s="29">
        <v>68</v>
      </c>
      <c r="C40" s="30">
        <v>7935</v>
      </c>
      <c r="D40" s="50">
        <v>428</v>
      </c>
      <c r="E40" s="47">
        <v>3070</v>
      </c>
      <c r="F40" s="47">
        <v>152815</v>
      </c>
      <c r="G40" s="32">
        <v>1890025</v>
      </c>
      <c r="H40" s="32">
        <v>2309246</v>
      </c>
      <c r="I40" s="33">
        <v>33.020000000000003</v>
      </c>
      <c r="J40" s="33">
        <v>37.5</v>
      </c>
      <c r="K40" s="34">
        <v>0.45</v>
      </c>
      <c r="L40" s="34">
        <v>0.56999999999999995</v>
      </c>
      <c r="M40" s="44">
        <v>10344</v>
      </c>
      <c r="N40" s="44">
        <v>90500</v>
      </c>
      <c r="O40" s="29">
        <v>41</v>
      </c>
      <c r="P40" s="35">
        <v>35</v>
      </c>
    </row>
    <row r="41" spans="1:16" ht="15.6" thickTop="1" thickBot="1" x14ac:dyDescent="0.35">
      <c r="A41" s="28">
        <v>70801030203</v>
      </c>
      <c r="B41" s="29" t="s">
        <v>24</v>
      </c>
      <c r="C41" s="29" t="s">
        <v>24</v>
      </c>
      <c r="D41" s="29" t="s">
        <v>24</v>
      </c>
      <c r="E41" s="29">
        <v>65</v>
      </c>
      <c r="F41" s="30">
        <v>2665</v>
      </c>
      <c r="G41" s="29" t="s">
        <v>24</v>
      </c>
      <c r="H41" s="29" t="s">
        <v>24</v>
      </c>
      <c r="I41" s="29" t="s">
        <v>24</v>
      </c>
      <c r="J41" s="29" t="s">
        <v>24</v>
      </c>
      <c r="K41" s="29" t="s">
        <v>24</v>
      </c>
      <c r="L41" s="29" t="s">
        <v>24</v>
      </c>
      <c r="M41" s="29">
        <v>208</v>
      </c>
      <c r="N41" s="29">
        <v>1603</v>
      </c>
      <c r="O41" s="29">
        <v>49</v>
      </c>
      <c r="P41" s="35">
        <v>36</v>
      </c>
    </row>
    <row r="42" spans="1:16" ht="15.6" thickTop="1" thickBot="1" x14ac:dyDescent="0.35">
      <c r="A42" s="28">
        <v>70801030403</v>
      </c>
      <c r="B42" s="29">
        <v>46</v>
      </c>
      <c r="C42" s="30">
        <v>6967</v>
      </c>
      <c r="D42" s="31">
        <v>189</v>
      </c>
      <c r="E42" s="30">
        <v>1859</v>
      </c>
      <c r="F42" s="30">
        <v>82566</v>
      </c>
      <c r="G42" s="32">
        <v>1055125</v>
      </c>
      <c r="H42" s="32">
        <v>1362798</v>
      </c>
      <c r="I42" s="61">
        <v>24.98</v>
      </c>
      <c r="J42" s="61">
        <v>30.82</v>
      </c>
      <c r="K42" s="34">
        <v>1.06</v>
      </c>
      <c r="L42" s="34">
        <v>1.52</v>
      </c>
      <c r="M42" s="29">
        <v>6211</v>
      </c>
      <c r="N42" s="29">
        <v>49539</v>
      </c>
      <c r="O42" s="29">
        <v>40</v>
      </c>
      <c r="P42" s="35">
        <v>37</v>
      </c>
    </row>
    <row r="43" spans="1:16" ht="15.6" thickTop="1" thickBot="1" x14ac:dyDescent="0.35">
      <c r="A43" s="28">
        <v>70801030602</v>
      </c>
      <c r="B43" s="29">
        <v>32</v>
      </c>
      <c r="C43" s="30">
        <v>2089</v>
      </c>
      <c r="D43" s="31">
        <v>109</v>
      </c>
      <c r="E43" s="30">
        <v>1496</v>
      </c>
      <c r="F43" s="30">
        <v>81797</v>
      </c>
      <c r="G43" s="32">
        <v>872938</v>
      </c>
      <c r="H43" s="32">
        <v>1165945</v>
      </c>
      <c r="I43" s="33">
        <v>35.32</v>
      </c>
      <c r="J43" s="33">
        <v>40.61</v>
      </c>
      <c r="K43" s="34">
        <v>0.59</v>
      </c>
      <c r="L43" s="34">
        <v>0.79</v>
      </c>
      <c r="M43" s="29">
        <v>4955</v>
      </c>
      <c r="N43" s="29">
        <v>47781</v>
      </c>
      <c r="O43" s="29">
        <v>53</v>
      </c>
      <c r="P43" s="35">
        <v>37</v>
      </c>
    </row>
    <row r="44" spans="1:16" ht="15.6" thickTop="1" thickBot="1" x14ac:dyDescent="0.35">
      <c r="A44" s="28">
        <v>70801030604</v>
      </c>
      <c r="B44" s="29">
        <v>6</v>
      </c>
      <c r="C44" s="29">
        <v>560</v>
      </c>
      <c r="D44" s="31">
        <v>246</v>
      </c>
      <c r="E44" s="29">
        <v>213</v>
      </c>
      <c r="F44" s="30">
        <v>11634</v>
      </c>
      <c r="G44" s="32">
        <v>274464</v>
      </c>
      <c r="H44" s="32">
        <v>299708</v>
      </c>
      <c r="I44" s="33">
        <v>39.75</v>
      </c>
      <c r="J44" s="33">
        <v>44.54</v>
      </c>
      <c r="K44" s="34">
        <v>0.52</v>
      </c>
      <c r="L44" s="34">
        <v>0.66</v>
      </c>
      <c r="M44" s="29">
        <v>793</v>
      </c>
      <c r="N44" s="29">
        <v>6930</v>
      </c>
      <c r="O44" s="29">
        <v>61</v>
      </c>
      <c r="P44" s="35">
        <v>37</v>
      </c>
    </row>
    <row r="45" spans="1:16" ht="15.6" thickTop="1" thickBot="1" x14ac:dyDescent="0.35">
      <c r="A45" s="28">
        <v>70801030405</v>
      </c>
      <c r="B45" s="29">
        <v>85</v>
      </c>
      <c r="C45" s="30">
        <v>10335</v>
      </c>
      <c r="D45" s="50">
        <v>385</v>
      </c>
      <c r="E45" s="30">
        <v>3010</v>
      </c>
      <c r="F45" s="30">
        <v>127002</v>
      </c>
      <c r="G45" s="32">
        <v>1744427</v>
      </c>
      <c r="H45" s="32">
        <v>2380602</v>
      </c>
      <c r="I45" s="61">
        <v>23.48</v>
      </c>
      <c r="J45" s="61">
        <v>29.77</v>
      </c>
      <c r="K45" s="34">
        <v>0.38</v>
      </c>
      <c r="L45" s="34">
        <v>0.56999999999999995</v>
      </c>
      <c r="M45" s="29">
        <v>9981</v>
      </c>
      <c r="N45" s="29">
        <v>76620</v>
      </c>
      <c r="O45" s="29">
        <v>46</v>
      </c>
      <c r="P45" s="35">
        <v>40</v>
      </c>
    </row>
    <row r="46" spans="1:16" ht="15.6" thickTop="1" thickBot="1" x14ac:dyDescent="0.35">
      <c r="A46" s="14">
        <v>70801030601</v>
      </c>
      <c r="B46" s="36">
        <v>52</v>
      </c>
      <c r="C46" s="37">
        <v>8514</v>
      </c>
      <c r="D46" s="38">
        <v>275</v>
      </c>
      <c r="E46" s="37">
        <v>1918</v>
      </c>
      <c r="F46" s="37">
        <v>77384</v>
      </c>
      <c r="G46" s="39">
        <v>1178696</v>
      </c>
      <c r="H46" s="18">
        <v>1430512</v>
      </c>
      <c r="I46" s="41">
        <v>27.99</v>
      </c>
      <c r="J46" s="65">
        <v>31.56</v>
      </c>
      <c r="K46" s="40">
        <v>0.55000000000000004</v>
      </c>
      <c r="L46" s="40">
        <v>0.73</v>
      </c>
      <c r="M46" s="36">
        <v>6605</v>
      </c>
      <c r="N46" s="36">
        <v>47357</v>
      </c>
      <c r="O46" s="36">
        <v>54</v>
      </c>
      <c r="P46" s="36">
        <v>41</v>
      </c>
    </row>
    <row r="47" spans="1:16" ht="15" thickBot="1" x14ac:dyDescent="0.35">
      <c r="A47" s="14">
        <v>70600061002</v>
      </c>
      <c r="B47" s="15">
        <v>8</v>
      </c>
      <c r="C47" s="16">
        <v>2409</v>
      </c>
      <c r="D47" s="17">
        <v>13</v>
      </c>
      <c r="E47" s="15">
        <v>412</v>
      </c>
      <c r="F47" s="16">
        <v>18534</v>
      </c>
      <c r="G47" s="18">
        <v>181632</v>
      </c>
      <c r="H47" s="18">
        <v>235298</v>
      </c>
      <c r="I47" s="20">
        <v>26.77</v>
      </c>
      <c r="J47" s="59">
        <v>31.11</v>
      </c>
      <c r="K47" s="63">
        <v>0.1</v>
      </c>
      <c r="L47" s="63">
        <v>0.13</v>
      </c>
      <c r="M47" s="15">
        <v>1321</v>
      </c>
      <c r="N47" s="15">
        <v>11016</v>
      </c>
      <c r="O47" s="15">
        <v>51</v>
      </c>
      <c r="P47" s="15">
        <v>43</v>
      </c>
    </row>
    <row r="48" spans="1:16" ht="15" thickBot="1" x14ac:dyDescent="0.35">
      <c r="A48" s="14">
        <v>70801030402</v>
      </c>
      <c r="B48" s="15">
        <v>39</v>
      </c>
      <c r="C48" s="16">
        <v>5009</v>
      </c>
      <c r="D48" s="17">
        <v>300</v>
      </c>
      <c r="E48" s="16">
        <v>1580</v>
      </c>
      <c r="F48" s="16">
        <v>62974</v>
      </c>
      <c r="G48" s="18">
        <v>708469</v>
      </c>
      <c r="H48" s="18">
        <v>1155299</v>
      </c>
      <c r="I48" s="59">
        <v>22.34</v>
      </c>
      <c r="J48" s="59">
        <v>31.26</v>
      </c>
      <c r="K48" s="20">
        <v>0.32</v>
      </c>
      <c r="L48" s="20">
        <v>0.59</v>
      </c>
      <c r="M48" s="15">
        <v>5143</v>
      </c>
      <c r="N48" s="15">
        <v>38153</v>
      </c>
      <c r="O48" s="15">
        <v>49</v>
      </c>
      <c r="P48" s="15">
        <v>44</v>
      </c>
    </row>
    <row r="49" spans="1:16" ht="15" thickBot="1" x14ac:dyDescent="0.35">
      <c r="A49" s="14">
        <v>70600060901</v>
      </c>
      <c r="B49" s="15">
        <v>9</v>
      </c>
      <c r="C49" s="16">
        <v>2640</v>
      </c>
      <c r="D49" s="17">
        <v>52</v>
      </c>
      <c r="E49" s="15">
        <v>348</v>
      </c>
      <c r="F49" s="16">
        <v>11338</v>
      </c>
      <c r="G49" s="18">
        <v>152706</v>
      </c>
      <c r="H49" s="18">
        <v>209826</v>
      </c>
      <c r="I49" s="63">
        <v>21.03</v>
      </c>
      <c r="J49" s="59">
        <v>25.78</v>
      </c>
      <c r="K49" s="63">
        <v>0.09</v>
      </c>
      <c r="L49" s="63">
        <v>0.13</v>
      </c>
      <c r="M49" s="15">
        <v>1167</v>
      </c>
      <c r="N49" s="15">
        <v>7231</v>
      </c>
      <c r="O49" s="15">
        <v>60</v>
      </c>
      <c r="P49" s="15">
        <v>46</v>
      </c>
    </row>
  </sheetData>
  <sortState ref="A2:P67">
    <sortCondition ref="P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tabSelected="1" zoomScale="115" zoomScaleNormal="115" workbookViewId="0">
      <selection activeCell="A12" sqref="A12"/>
    </sheetView>
  </sheetViews>
  <sheetFormatPr defaultRowHeight="14.4" x14ac:dyDescent="0.3"/>
  <cols>
    <col min="1" max="1" width="12.5546875" style="10" bestFit="1" customWidth="1"/>
    <col min="2" max="6" width="8.88671875" style="10" hidden="1" customWidth="1"/>
    <col min="7" max="8" width="10.6640625" style="10" hidden="1" customWidth="1"/>
    <col min="9" max="16" width="8.88671875" style="10"/>
  </cols>
  <sheetData>
    <row r="1" spans="1:18" ht="15" thickBot="1" x14ac:dyDescent="0.35">
      <c r="A1" s="10" t="s">
        <v>25</v>
      </c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36</v>
      </c>
      <c r="M1" s="10" t="s">
        <v>37</v>
      </c>
      <c r="N1" s="10" t="s">
        <v>38</v>
      </c>
      <c r="O1" s="10" t="s">
        <v>39</v>
      </c>
      <c r="P1" s="10" t="s">
        <v>40</v>
      </c>
    </row>
    <row r="2" spans="1:18" ht="15" thickBot="1" x14ac:dyDescent="0.35">
      <c r="A2" s="11">
        <v>70801030408</v>
      </c>
      <c r="B2" s="12"/>
      <c r="C2" s="13"/>
      <c r="D2" s="51">
        <v>1</v>
      </c>
      <c r="E2" s="13"/>
      <c r="F2" s="13"/>
      <c r="G2" s="54">
        <f>SUM(B2:F2)</f>
        <v>1</v>
      </c>
      <c r="H2" s="54"/>
      <c r="I2" s="62">
        <v>1</v>
      </c>
      <c r="J2" s="62">
        <v>1</v>
      </c>
      <c r="K2" s="58">
        <v>1</v>
      </c>
      <c r="L2" s="58">
        <v>1</v>
      </c>
      <c r="M2" s="12"/>
      <c r="N2" s="12"/>
      <c r="O2" s="51">
        <v>1</v>
      </c>
      <c r="P2" s="51">
        <v>1</v>
      </c>
      <c r="Q2">
        <f>SUM(B2:P2)</f>
        <v>8</v>
      </c>
      <c r="R2" s="9">
        <f>SUM(I2:L2)</f>
        <v>4</v>
      </c>
    </row>
    <row r="3" spans="1:18" ht="15" thickBot="1" x14ac:dyDescent="0.35">
      <c r="A3" s="67">
        <v>70801010403</v>
      </c>
      <c r="B3" s="72"/>
      <c r="C3" s="73"/>
      <c r="D3" s="93"/>
      <c r="E3" s="72"/>
      <c r="F3" s="73"/>
      <c r="G3" s="69">
        <f>SUM(B3:F3)</f>
        <v>0</v>
      </c>
      <c r="H3" s="70"/>
      <c r="I3" s="74">
        <v>1</v>
      </c>
      <c r="J3" s="74">
        <v>1</v>
      </c>
      <c r="K3" s="74">
        <v>1</v>
      </c>
      <c r="L3" s="74">
        <v>1</v>
      </c>
      <c r="M3" s="72"/>
      <c r="N3" s="72"/>
      <c r="O3" s="93"/>
      <c r="P3" s="93"/>
      <c r="Q3">
        <f>SUM(B3:P3)</f>
        <v>4</v>
      </c>
      <c r="R3" s="9">
        <f>SUM(I3:L3)</f>
        <v>4</v>
      </c>
    </row>
    <row r="4" spans="1:18" ht="15.6" thickTop="1" thickBot="1" x14ac:dyDescent="0.35">
      <c r="A4" s="76">
        <v>70600060901</v>
      </c>
      <c r="B4" s="81"/>
      <c r="C4" s="83"/>
      <c r="D4" s="91"/>
      <c r="E4" s="81"/>
      <c r="F4" s="83"/>
      <c r="G4" s="78">
        <f>SUM(B4:F4)</f>
        <v>0</v>
      </c>
      <c r="H4" s="78"/>
      <c r="I4" s="84">
        <v>1</v>
      </c>
      <c r="J4" s="79">
        <v>1</v>
      </c>
      <c r="K4" s="84">
        <v>1</v>
      </c>
      <c r="L4" s="84">
        <v>1</v>
      </c>
      <c r="M4" s="81"/>
      <c r="N4" s="81"/>
      <c r="O4" s="81"/>
      <c r="P4" s="82"/>
      <c r="Q4">
        <f>SUM(B4:P4)</f>
        <v>4</v>
      </c>
      <c r="R4" s="9">
        <f>SUM(I4:L4)</f>
        <v>4</v>
      </c>
    </row>
    <row r="5" spans="1:18" ht="15.6" thickTop="1" thickBot="1" x14ac:dyDescent="0.35">
      <c r="A5" s="14">
        <v>70801030607</v>
      </c>
      <c r="B5" s="15"/>
      <c r="C5" s="16"/>
      <c r="D5" s="15"/>
      <c r="E5" s="15"/>
      <c r="F5" s="16"/>
      <c r="G5" s="18">
        <f>SUM(B5:F5)</f>
        <v>0</v>
      </c>
      <c r="H5" s="18"/>
      <c r="I5" s="59">
        <v>1</v>
      </c>
      <c r="J5" s="59">
        <v>1</v>
      </c>
      <c r="K5" s="63">
        <v>1</v>
      </c>
      <c r="L5" s="20"/>
      <c r="M5" s="15"/>
      <c r="N5" s="15"/>
      <c r="O5" s="15"/>
      <c r="P5" s="15"/>
      <c r="Q5">
        <f>SUM(B5:P5)</f>
        <v>3</v>
      </c>
      <c r="R5" s="9">
        <f>SUM(I5:L5)</f>
        <v>3</v>
      </c>
    </row>
    <row r="6" spans="1:18" ht="15" thickBot="1" x14ac:dyDescent="0.35">
      <c r="A6" s="14">
        <v>70600061002</v>
      </c>
      <c r="B6" s="12"/>
      <c r="C6" s="13"/>
      <c r="D6" s="17"/>
      <c r="E6" s="12"/>
      <c r="F6" s="13"/>
      <c r="G6" s="54">
        <f>SUM(B6:F6)</f>
        <v>0</v>
      </c>
      <c r="H6" s="18"/>
      <c r="I6" s="20"/>
      <c r="J6" s="59">
        <v>1</v>
      </c>
      <c r="K6" s="63">
        <v>1</v>
      </c>
      <c r="L6" s="63">
        <v>1</v>
      </c>
      <c r="M6" s="15"/>
      <c r="N6" s="15"/>
      <c r="O6" s="12"/>
      <c r="P6" s="12"/>
      <c r="Q6">
        <f>SUM(B6:P6)</f>
        <v>3</v>
      </c>
      <c r="R6" s="9">
        <f>SUM(I6:L6)</f>
        <v>3</v>
      </c>
    </row>
    <row r="7" spans="1:18" ht="15" thickBot="1" x14ac:dyDescent="0.35">
      <c r="A7" s="14">
        <v>70801030406</v>
      </c>
      <c r="B7" s="51">
        <v>1</v>
      </c>
      <c r="C7" s="51">
        <v>1</v>
      </c>
      <c r="D7" s="51">
        <v>1</v>
      </c>
      <c r="E7" s="51">
        <v>1</v>
      </c>
      <c r="F7" s="51">
        <v>1</v>
      </c>
      <c r="G7" s="54">
        <f>SUM(B7:F7)</f>
        <v>5</v>
      </c>
      <c r="H7" s="18"/>
      <c r="I7" s="59">
        <v>1</v>
      </c>
      <c r="J7" s="59">
        <v>1</v>
      </c>
      <c r="K7" s="20"/>
      <c r="L7" s="20"/>
      <c r="M7" s="42">
        <v>1</v>
      </c>
      <c r="N7" s="42">
        <v>1</v>
      </c>
      <c r="O7" s="12"/>
      <c r="P7" s="12"/>
      <c r="Q7">
        <f>SUM(B7:P7)</f>
        <v>14</v>
      </c>
      <c r="R7" s="9">
        <f>SUM(I7:L7)</f>
        <v>2</v>
      </c>
    </row>
    <row r="8" spans="1:18" ht="15" thickBot="1" x14ac:dyDescent="0.35">
      <c r="A8" s="21">
        <v>70801030405</v>
      </c>
      <c r="B8" s="12"/>
      <c r="C8" s="23"/>
      <c r="D8" s="49">
        <v>1</v>
      </c>
      <c r="E8" s="13"/>
      <c r="F8" s="13"/>
      <c r="G8" s="54">
        <f>SUM(B8:F8)</f>
        <v>1</v>
      </c>
      <c r="H8" s="25"/>
      <c r="I8" s="60">
        <v>1</v>
      </c>
      <c r="J8" s="60">
        <v>1</v>
      </c>
      <c r="K8" s="27"/>
      <c r="L8" s="27"/>
      <c r="M8" s="15"/>
      <c r="N8" s="15"/>
      <c r="O8" s="12"/>
      <c r="P8" s="12"/>
      <c r="Q8">
        <f>SUM(B8:P8)</f>
        <v>4</v>
      </c>
      <c r="R8" s="9">
        <f>SUM(I8:L8)</f>
        <v>2</v>
      </c>
    </row>
    <row r="9" spans="1:18" ht="15.6" thickTop="1" thickBot="1" x14ac:dyDescent="0.35">
      <c r="A9" s="28">
        <v>70801030403</v>
      </c>
      <c r="B9" s="29"/>
      <c r="C9" s="30"/>
      <c r="D9" s="31"/>
      <c r="E9" s="30"/>
      <c r="F9" s="30"/>
      <c r="G9" s="54">
        <f>SUM(B9:F9)</f>
        <v>0</v>
      </c>
      <c r="H9" s="32"/>
      <c r="I9" s="61">
        <v>1</v>
      </c>
      <c r="J9" s="61">
        <v>1</v>
      </c>
      <c r="K9" s="34"/>
      <c r="L9" s="34"/>
      <c r="M9" s="29"/>
      <c r="N9" s="29"/>
      <c r="O9" s="12"/>
      <c r="P9" s="12"/>
      <c r="Q9">
        <f>SUM(B9:P9)</f>
        <v>2</v>
      </c>
      <c r="R9" s="9">
        <f>SUM(I9:L9)</f>
        <v>2</v>
      </c>
    </row>
    <row r="10" spans="1:18" ht="15.6" thickTop="1" thickBot="1" x14ac:dyDescent="0.35">
      <c r="A10" s="14">
        <v>70801030402</v>
      </c>
      <c r="B10" s="12"/>
      <c r="C10" s="13"/>
      <c r="D10" s="17"/>
      <c r="E10" s="13"/>
      <c r="F10" s="13"/>
      <c r="G10" s="54">
        <f>SUM(B10:F10)</f>
        <v>0</v>
      </c>
      <c r="H10" s="18"/>
      <c r="I10" s="59">
        <v>1</v>
      </c>
      <c r="J10" s="59">
        <v>1</v>
      </c>
      <c r="K10" s="20"/>
      <c r="L10" s="20"/>
      <c r="M10" s="15"/>
      <c r="N10" s="15"/>
      <c r="O10" s="15"/>
      <c r="P10" s="15"/>
      <c r="Q10">
        <f>SUM(B10:P10)</f>
        <v>2</v>
      </c>
      <c r="R10" s="9">
        <f>SUM(I10:L10)</f>
        <v>2</v>
      </c>
    </row>
    <row r="11" spans="1:18" ht="15" thickBot="1" x14ac:dyDescent="0.35">
      <c r="A11" s="14">
        <v>70801010602</v>
      </c>
      <c r="B11" s="15"/>
      <c r="C11" s="16"/>
      <c r="D11" s="48">
        <v>1</v>
      </c>
      <c r="E11" s="16"/>
      <c r="F11" s="16"/>
      <c r="G11" s="54">
        <f>SUM(B11:F11)</f>
        <v>1</v>
      </c>
      <c r="H11" s="18"/>
      <c r="I11" s="19"/>
      <c r="J11" s="19"/>
      <c r="K11" s="63">
        <v>1</v>
      </c>
      <c r="L11" s="63">
        <v>1</v>
      </c>
      <c r="M11" s="15"/>
      <c r="N11" s="15"/>
      <c r="O11" s="42">
        <v>1</v>
      </c>
      <c r="P11" s="15"/>
      <c r="Q11">
        <f>SUM(B11:P11)</f>
        <v>5</v>
      </c>
      <c r="R11" s="9">
        <f>SUM(I11:L11)</f>
        <v>2</v>
      </c>
    </row>
    <row r="12" spans="1:18" ht="15" thickBot="1" x14ac:dyDescent="0.35">
      <c r="A12" s="67">
        <v>70801010301</v>
      </c>
      <c r="B12" s="72"/>
      <c r="C12" s="73"/>
      <c r="D12" s="94"/>
      <c r="E12" s="73"/>
      <c r="F12" s="73"/>
      <c r="G12" s="69">
        <f>SUM(B12:F12)</f>
        <v>0</v>
      </c>
      <c r="H12" s="70"/>
      <c r="I12" s="71"/>
      <c r="J12" s="71"/>
      <c r="K12" s="75">
        <v>1</v>
      </c>
      <c r="L12" s="75">
        <v>1</v>
      </c>
      <c r="M12" s="72"/>
      <c r="N12" s="72"/>
      <c r="O12" s="72"/>
      <c r="P12" s="68">
        <v>1</v>
      </c>
      <c r="Q12">
        <f>SUM(B12:P12)</f>
        <v>3</v>
      </c>
      <c r="R12" s="9">
        <f>SUM(I12:L12)</f>
        <v>2</v>
      </c>
    </row>
    <row r="13" spans="1:18" ht="15.6" thickTop="1" thickBot="1" x14ac:dyDescent="0.35">
      <c r="A13" s="76">
        <v>70801010601</v>
      </c>
      <c r="B13" s="81"/>
      <c r="C13" s="83"/>
      <c r="D13" s="91"/>
      <c r="E13" s="81"/>
      <c r="F13" s="83"/>
      <c r="G13" s="78">
        <f>SUM(B13:F13)</f>
        <v>0</v>
      </c>
      <c r="H13" s="78"/>
      <c r="I13" s="85"/>
      <c r="J13" s="85"/>
      <c r="K13" s="84">
        <v>1</v>
      </c>
      <c r="L13" s="84">
        <v>1</v>
      </c>
      <c r="M13" s="81"/>
      <c r="N13" s="81"/>
      <c r="O13" s="81"/>
      <c r="P13" s="82"/>
      <c r="Q13">
        <f>SUM(B13:P13)</f>
        <v>2</v>
      </c>
      <c r="R13" s="9">
        <f>SUM(I13:L13)</f>
        <v>2</v>
      </c>
    </row>
    <row r="14" spans="1:18" ht="15.6" thickTop="1" thickBot="1" x14ac:dyDescent="0.35">
      <c r="A14" s="76">
        <v>70802060801</v>
      </c>
      <c r="B14" s="81"/>
      <c r="C14" s="83"/>
      <c r="D14" s="91"/>
      <c r="E14" s="83"/>
      <c r="F14" s="83"/>
      <c r="G14" s="78">
        <f>SUM(B14:F14)</f>
        <v>0</v>
      </c>
      <c r="H14" s="78"/>
      <c r="I14" s="85"/>
      <c r="J14" s="85"/>
      <c r="K14" s="84">
        <v>1</v>
      </c>
      <c r="L14" s="84">
        <v>1</v>
      </c>
      <c r="M14" s="81"/>
      <c r="N14" s="81"/>
      <c r="O14" s="81"/>
      <c r="P14" s="82"/>
      <c r="Q14">
        <f>SUM(B14:P14)</f>
        <v>2</v>
      </c>
      <c r="R14" s="9">
        <f>SUM(I14:L14)</f>
        <v>2</v>
      </c>
    </row>
    <row r="15" spans="1:18" ht="15.6" thickTop="1" thickBot="1" x14ac:dyDescent="0.35">
      <c r="A15" s="86">
        <v>70802060407</v>
      </c>
      <c r="B15" s="87"/>
      <c r="C15" s="88"/>
      <c r="D15" s="95"/>
      <c r="E15" s="87"/>
      <c r="F15" s="88"/>
      <c r="G15" s="78">
        <f>SUM(B15:F15)</f>
        <v>0</v>
      </c>
      <c r="H15" s="89"/>
      <c r="I15" s="96"/>
      <c r="J15" s="96"/>
      <c r="K15" s="97">
        <v>1</v>
      </c>
      <c r="L15" s="97">
        <v>1</v>
      </c>
      <c r="M15" s="87"/>
      <c r="N15" s="87"/>
      <c r="O15" s="87"/>
      <c r="P15" s="82"/>
      <c r="Q15">
        <f>SUM(B15:P15)</f>
        <v>2</v>
      </c>
      <c r="R15" s="9">
        <f>SUM(I15:L15)</f>
        <v>2</v>
      </c>
    </row>
    <row r="16" spans="1:18" ht="15.6" thickTop="1" thickBot="1" x14ac:dyDescent="0.35">
      <c r="A16" s="76">
        <v>70801030605</v>
      </c>
      <c r="B16" s="81"/>
      <c r="C16" s="83"/>
      <c r="D16" s="91"/>
      <c r="E16" s="83"/>
      <c r="F16" s="83"/>
      <c r="G16" s="78">
        <f>SUM(B16:F16)</f>
        <v>0</v>
      </c>
      <c r="H16" s="78"/>
      <c r="I16" s="79">
        <v>1</v>
      </c>
      <c r="J16" s="85"/>
      <c r="K16" s="80"/>
      <c r="L16" s="80"/>
      <c r="M16" s="81"/>
      <c r="N16" s="81"/>
      <c r="O16" s="81"/>
      <c r="P16" s="82"/>
      <c r="Q16">
        <f>SUM(B16:P16)</f>
        <v>1</v>
      </c>
      <c r="R16" s="9">
        <f>SUM(I16:L16)</f>
        <v>1</v>
      </c>
    </row>
    <row r="17" spans="1:18" ht="15.6" thickTop="1" thickBot="1" x14ac:dyDescent="0.35">
      <c r="A17" s="28">
        <v>70801030404</v>
      </c>
      <c r="B17" s="29"/>
      <c r="C17" s="29"/>
      <c r="D17" s="31"/>
      <c r="E17" s="29"/>
      <c r="F17" s="30"/>
      <c r="G17" s="18">
        <f>SUM(B17:F17)</f>
        <v>0</v>
      </c>
      <c r="H17" s="32"/>
      <c r="I17" s="61">
        <v>1</v>
      </c>
      <c r="J17" s="33"/>
      <c r="K17" s="34"/>
      <c r="L17" s="34"/>
      <c r="M17" s="29"/>
      <c r="N17" s="29"/>
      <c r="O17" s="29"/>
      <c r="P17" s="35"/>
      <c r="Q17">
        <f>SUM(B17:P17)</f>
        <v>1</v>
      </c>
      <c r="R17" s="9">
        <f>SUM(I17:L17)</f>
        <v>1</v>
      </c>
    </row>
    <row r="18" spans="1:18" ht="15.6" thickTop="1" thickBot="1" x14ac:dyDescent="0.35">
      <c r="A18" s="28">
        <v>70801030601</v>
      </c>
      <c r="B18" s="22"/>
      <c r="C18" s="23"/>
      <c r="D18" s="24"/>
      <c r="E18" s="23"/>
      <c r="F18" s="23"/>
      <c r="G18" s="54">
        <f>SUM(B18:F18)</f>
        <v>0</v>
      </c>
      <c r="H18" s="32"/>
      <c r="I18" s="33"/>
      <c r="J18" s="61">
        <v>1</v>
      </c>
      <c r="K18" s="34"/>
      <c r="L18" s="34"/>
      <c r="M18" s="29"/>
      <c r="N18" s="29"/>
      <c r="O18" s="29"/>
      <c r="P18" s="35"/>
      <c r="Q18">
        <f>SUM(B18:P18)</f>
        <v>1</v>
      </c>
      <c r="R18" s="9">
        <f>SUM(I18:L18)</f>
        <v>1</v>
      </c>
    </row>
    <row r="19" spans="1:18" ht="15.6" thickTop="1" thickBot="1" x14ac:dyDescent="0.35">
      <c r="A19" s="14">
        <v>70802060302</v>
      </c>
      <c r="B19" s="15"/>
      <c r="C19" s="45">
        <v>1</v>
      </c>
      <c r="D19" s="17"/>
      <c r="E19" s="16"/>
      <c r="F19" s="16"/>
      <c r="G19" s="54">
        <f>SUM(B19:F19)</f>
        <v>1</v>
      </c>
      <c r="H19" s="18"/>
      <c r="I19" s="19"/>
      <c r="J19" s="19"/>
      <c r="K19" s="20"/>
      <c r="L19" s="63">
        <v>1</v>
      </c>
      <c r="M19" s="15"/>
      <c r="N19" s="15"/>
      <c r="O19" s="15"/>
      <c r="P19" s="15"/>
      <c r="Q19">
        <f>SUM(B19:P19)</f>
        <v>3</v>
      </c>
      <c r="R19" s="9">
        <f>SUM(I19:L19)</f>
        <v>1</v>
      </c>
    </row>
    <row r="20" spans="1:18" ht="15" thickBot="1" x14ac:dyDescent="0.35">
      <c r="A20" s="21">
        <v>70802060601</v>
      </c>
      <c r="B20" s="43">
        <v>1</v>
      </c>
      <c r="C20" s="43">
        <v>1</v>
      </c>
      <c r="D20" s="43">
        <v>1</v>
      </c>
      <c r="E20" s="43">
        <v>1</v>
      </c>
      <c r="F20" s="43">
        <v>1</v>
      </c>
      <c r="G20" s="54">
        <f>SUM(B20:F20)</f>
        <v>5</v>
      </c>
      <c r="H20" s="25"/>
      <c r="I20" s="26"/>
      <c r="J20" s="26"/>
      <c r="K20" s="27"/>
      <c r="L20" s="27"/>
      <c r="M20" s="43">
        <v>1</v>
      </c>
      <c r="N20" s="43">
        <v>1</v>
      </c>
      <c r="O20" s="43">
        <v>1</v>
      </c>
      <c r="P20" s="43">
        <v>1</v>
      </c>
      <c r="Q20">
        <f>SUM(B20:P20)</f>
        <v>14</v>
      </c>
      <c r="R20" s="9">
        <f>SUM(I20:L20)</f>
        <v>0</v>
      </c>
    </row>
    <row r="21" spans="1:18" ht="15.6" thickTop="1" thickBot="1" x14ac:dyDescent="0.35">
      <c r="A21" s="28">
        <v>70801030407</v>
      </c>
      <c r="B21" s="44">
        <v>1</v>
      </c>
      <c r="C21" s="44">
        <v>1</v>
      </c>
      <c r="D21" s="44">
        <v>1</v>
      </c>
      <c r="E21" s="44">
        <v>1</v>
      </c>
      <c r="F21" s="44">
        <v>1</v>
      </c>
      <c r="G21" s="54">
        <f>SUM(B21:F21)</f>
        <v>5</v>
      </c>
      <c r="H21" s="32"/>
      <c r="I21" s="33"/>
      <c r="J21" s="33"/>
      <c r="K21" s="34"/>
      <c r="L21" s="34"/>
      <c r="M21" s="44">
        <v>1</v>
      </c>
      <c r="N21" s="44">
        <v>1</v>
      </c>
      <c r="O21" s="44">
        <v>1</v>
      </c>
      <c r="P21" s="66">
        <v>1</v>
      </c>
      <c r="Q21">
        <f>SUM(B21:P21)</f>
        <v>14</v>
      </c>
      <c r="R21" s="9">
        <f>SUM(I21:L21)</f>
        <v>0</v>
      </c>
    </row>
    <row r="22" spans="1:18" ht="15.6" thickTop="1" thickBot="1" x14ac:dyDescent="0.35">
      <c r="A22" s="28">
        <v>70802060602</v>
      </c>
      <c r="B22" s="44">
        <v>1</v>
      </c>
      <c r="C22" s="44">
        <v>1</v>
      </c>
      <c r="D22" s="44">
        <v>1</v>
      </c>
      <c r="E22" s="44">
        <v>1</v>
      </c>
      <c r="F22" s="44">
        <v>1</v>
      </c>
      <c r="G22" s="54">
        <f>SUM(B22:F22)</f>
        <v>5</v>
      </c>
      <c r="H22" s="32"/>
      <c r="I22" s="33"/>
      <c r="J22" s="33"/>
      <c r="K22" s="34"/>
      <c r="L22" s="34"/>
      <c r="M22" s="44">
        <v>1</v>
      </c>
      <c r="N22" s="44">
        <v>1</v>
      </c>
      <c r="O22" s="29"/>
      <c r="P22" s="35"/>
      <c r="Q22">
        <f>SUM(B22:P22)</f>
        <v>12</v>
      </c>
      <c r="R22" s="9">
        <f>SUM(I22:L22)</f>
        <v>0</v>
      </c>
    </row>
    <row r="23" spans="1:18" ht="15.6" thickTop="1" thickBot="1" x14ac:dyDescent="0.35">
      <c r="A23" s="28">
        <v>70801030303</v>
      </c>
      <c r="B23" s="44">
        <v>1</v>
      </c>
      <c r="C23" s="47">
        <v>1</v>
      </c>
      <c r="D23" s="31"/>
      <c r="E23" s="44">
        <v>1</v>
      </c>
      <c r="F23" s="44">
        <v>1</v>
      </c>
      <c r="G23" s="54">
        <f>SUM(B23:F23)</f>
        <v>4</v>
      </c>
      <c r="H23" s="32"/>
      <c r="I23" s="33"/>
      <c r="J23" s="33"/>
      <c r="K23" s="34"/>
      <c r="L23" s="34"/>
      <c r="M23" s="44">
        <v>1</v>
      </c>
      <c r="N23" s="44">
        <v>1</v>
      </c>
      <c r="O23" s="44">
        <v>1</v>
      </c>
      <c r="P23" s="66">
        <v>1</v>
      </c>
      <c r="Q23">
        <f>SUM(B23:P23)</f>
        <v>12</v>
      </c>
      <c r="R23" s="9">
        <f>SUM(I23:L23)</f>
        <v>0</v>
      </c>
    </row>
    <row r="24" spans="1:18" ht="15.6" thickTop="1" thickBot="1" x14ac:dyDescent="0.35">
      <c r="A24" s="28">
        <v>70802060502</v>
      </c>
      <c r="B24" s="44">
        <v>1</v>
      </c>
      <c r="C24" s="44">
        <v>1</v>
      </c>
      <c r="D24" s="31"/>
      <c r="E24" s="44">
        <v>1</v>
      </c>
      <c r="F24" s="44">
        <v>1</v>
      </c>
      <c r="G24" s="54">
        <f>SUM(B24:F24)</f>
        <v>4</v>
      </c>
      <c r="H24" s="32"/>
      <c r="I24" s="33"/>
      <c r="J24" s="33"/>
      <c r="K24" s="34"/>
      <c r="L24" s="34"/>
      <c r="M24" s="44">
        <v>1</v>
      </c>
      <c r="N24" s="44">
        <v>1</v>
      </c>
      <c r="O24" s="44">
        <v>1</v>
      </c>
      <c r="P24" s="66">
        <v>1</v>
      </c>
      <c r="Q24">
        <f>SUM(B24:P24)</f>
        <v>12</v>
      </c>
      <c r="R24" s="9">
        <f>SUM(I24:L24)</f>
        <v>0</v>
      </c>
    </row>
    <row r="25" spans="1:18" ht="15.6" thickTop="1" thickBot="1" x14ac:dyDescent="0.35">
      <c r="A25" s="14">
        <v>70802060501</v>
      </c>
      <c r="B25" s="42">
        <v>1</v>
      </c>
      <c r="C25" s="42">
        <v>1</v>
      </c>
      <c r="D25" s="17"/>
      <c r="E25" s="42">
        <v>1</v>
      </c>
      <c r="F25" s="42">
        <v>1</v>
      </c>
      <c r="G25" s="54">
        <f>SUM(B25:F25)</f>
        <v>4</v>
      </c>
      <c r="H25" s="18"/>
      <c r="I25" s="19"/>
      <c r="J25" s="19"/>
      <c r="K25" s="20"/>
      <c r="L25" s="20"/>
      <c r="M25" s="42">
        <v>1</v>
      </c>
      <c r="N25" s="42">
        <v>1</v>
      </c>
      <c r="O25" s="42">
        <v>1</v>
      </c>
      <c r="P25" s="42">
        <v>1</v>
      </c>
      <c r="Q25">
        <f>SUM(B25:P25)</f>
        <v>12</v>
      </c>
      <c r="R25" s="9">
        <f>SUM(I25:L25)</f>
        <v>0</v>
      </c>
    </row>
    <row r="26" spans="1:18" ht="15" thickBot="1" x14ac:dyDescent="0.35">
      <c r="A26" s="14">
        <v>70802060603</v>
      </c>
      <c r="B26" s="42">
        <v>1</v>
      </c>
      <c r="C26" s="42">
        <v>1</v>
      </c>
      <c r="D26" s="17"/>
      <c r="E26" s="42">
        <v>1</v>
      </c>
      <c r="F26" s="42">
        <v>1</v>
      </c>
      <c r="G26" s="54">
        <f>SUM(B26:F26)</f>
        <v>4</v>
      </c>
      <c r="H26" s="18"/>
      <c r="I26" s="19"/>
      <c r="J26" s="19"/>
      <c r="K26" s="20"/>
      <c r="L26" s="20"/>
      <c r="M26" s="42">
        <v>1</v>
      </c>
      <c r="N26" s="42">
        <v>1</v>
      </c>
      <c r="O26" s="15"/>
      <c r="P26" s="42">
        <v>1</v>
      </c>
      <c r="Q26">
        <f>SUM(B26:P26)</f>
        <v>11</v>
      </c>
      <c r="R26" s="9">
        <f>SUM(I26:L26)</f>
        <v>0</v>
      </c>
    </row>
    <row r="27" spans="1:18" ht="15" thickBot="1" x14ac:dyDescent="0.35">
      <c r="A27" s="14">
        <v>70801030301</v>
      </c>
      <c r="B27" s="42">
        <v>1</v>
      </c>
      <c r="C27" s="16"/>
      <c r="D27" s="15" t="s">
        <v>24</v>
      </c>
      <c r="E27" s="42">
        <v>1</v>
      </c>
      <c r="F27" s="42">
        <v>1</v>
      </c>
      <c r="G27" s="54">
        <f>SUM(B27:F27)</f>
        <v>3</v>
      </c>
      <c r="H27" s="18"/>
      <c r="I27" s="19"/>
      <c r="J27" s="19"/>
      <c r="K27" s="20"/>
      <c r="L27" s="20"/>
      <c r="M27" s="42">
        <v>1</v>
      </c>
      <c r="N27" s="42">
        <v>1</v>
      </c>
      <c r="O27" s="42">
        <v>1</v>
      </c>
      <c r="P27" s="42">
        <v>1</v>
      </c>
      <c r="Q27">
        <f>SUM(B27:P27)</f>
        <v>10</v>
      </c>
      <c r="R27" s="9">
        <f>SUM(I27:L27)</f>
        <v>0</v>
      </c>
    </row>
    <row r="28" spans="1:18" ht="15" thickBot="1" x14ac:dyDescent="0.35">
      <c r="A28" s="21">
        <v>70801030401</v>
      </c>
      <c r="B28" s="22"/>
      <c r="C28" s="23"/>
      <c r="D28" s="49">
        <v>1</v>
      </c>
      <c r="E28" s="46">
        <v>1</v>
      </c>
      <c r="F28" s="46">
        <v>1</v>
      </c>
      <c r="G28" s="54">
        <f>SUM(B28:F28)</f>
        <v>3</v>
      </c>
      <c r="H28" s="25"/>
      <c r="I28" s="26"/>
      <c r="J28" s="26"/>
      <c r="K28" s="27"/>
      <c r="L28" s="27"/>
      <c r="M28" s="43">
        <v>1</v>
      </c>
      <c r="N28" s="43">
        <v>1</v>
      </c>
      <c r="O28" s="22"/>
      <c r="P28" s="22"/>
      <c r="Q28">
        <f>SUM(B28:P28)</f>
        <v>8</v>
      </c>
      <c r="R28" s="9">
        <f>SUM(I28:L28)</f>
        <v>0</v>
      </c>
    </row>
    <row r="29" spans="1:18" ht="15.6" thickTop="1" thickBot="1" x14ac:dyDescent="0.35">
      <c r="A29" s="28">
        <v>70802060704</v>
      </c>
      <c r="B29" s="29"/>
      <c r="C29" s="47">
        <v>1</v>
      </c>
      <c r="D29" s="50">
        <v>1</v>
      </c>
      <c r="E29" s="30"/>
      <c r="F29" s="30"/>
      <c r="G29" s="54">
        <f>SUM(B29:F29)</f>
        <v>2</v>
      </c>
      <c r="H29" s="32"/>
      <c r="I29" s="33"/>
      <c r="J29" s="33"/>
      <c r="K29" s="34"/>
      <c r="L29" s="34"/>
      <c r="M29" s="29"/>
      <c r="N29" s="29"/>
      <c r="O29" s="29"/>
      <c r="P29" s="35"/>
      <c r="Q29">
        <f>SUM(B29:P29)</f>
        <v>4</v>
      </c>
      <c r="R29" s="9">
        <f>SUM(I29:L29)</f>
        <v>0</v>
      </c>
    </row>
    <row r="30" spans="1:18" ht="15.6" thickTop="1" thickBot="1" x14ac:dyDescent="0.35">
      <c r="A30" s="14">
        <v>70802060802</v>
      </c>
      <c r="B30" s="15"/>
      <c r="C30" s="16"/>
      <c r="D30" s="42">
        <v>1</v>
      </c>
      <c r="E30" s="16"/>
      <c r="F30" s="16"/>
      <c r="G30" s="54">
        <f>SUM(B30:F30)</f>
        <v>1</v>
      </c>
      <c r="H30" s="18"/>
      <c r="I30" s="19"/>
      <c r="J30" s="19"/>
      <c r="K30" s="20"/>
      <c r="L30" s="20"/>
      <c r="M30" s="15"/>
      <c r="N30" s="15"/>
      <c r="O30" s="15"/>
      <c r="P30" s="15"/>
      <c r="Q30">
        <f>SUM(B30:P30)</f>
        <v>2</v>
      </c>
      <c r="R30" s="9">
        <f>SUM(I30:L30)</f>
        <v>0</v>
      </c>
    </row>
    <row r="31" spans="1:18" ht="15" thickBot="1" x14ac:dyDescent="0.35">
      <c r="A31" s="14">
        <v>70801030603</v>
      </c>
      <c r="B31" s="42">
        <v>1</v>
      </c>
      <c r="C31" s="16"/>
      <c r="D31" s="17"/>
      <c r="E31" s="16"/>
      <c r="F31" s="16"/>
      <c r="G31" s="54">
        <f>SUM(B31:F31)</f>
        <v>1</v>
      </c>
      <c r="H31" s="18"/>
      <c r="I31" s="19"/>
      <c r="J31" s="19"/>
      <c r="K31" s="20"/>
      <c r="L31" s="20"/>
      <c r="M31" s="15"/>
      <c r="N31" s="15"/>
      <c r="O31" s="15"/>
      <c r="P31" s="15"/>
      <c r="Q31">
        <f>SUM(B31:P31)</f>
        <v>2</v>
      </c>
      <c r="R31" s="9">
        <f>SUM(I31:L31)</f>
        <v>0</v>
      </c>
    </row>
    <row r="32" spans="1:18" ht="15" thickBot="1" x14ac:dyDescent="0.35">
      <c r="A32" s="14">
        <v>70801030302</v>
      </c>
      <c r="B32" s="15"/>
      <c r="C32" s="16"/>
      <c r="D32" s="17"/>
      <c r="E32" s="16"/>
      <c r="F32" s="16"/>
      <c r="G32" s="54">
        <f>SUM(B32:F32)</f>
        <v>0</v>
      </c>
      <c r="H32" s="18"/>
      <c r="I32" s="19"/>
      <c r="J32" s="19"/>
      <c r="K32" s="20"/>
      <c r="L32" s="20"/>
      <c r="M32" s="15"/>
      <c r="N32" s="15"/>
      <c r="O32" s="42">
        <v>1</v>
      </c>
      <c r="P32" s="42">
        <v>1</v>
      </c>
      <c r="Q32">
        <f>SUM(B32:P32)</f>
        <v>2</v>
      </c>
      <c r="R32" s="9">
        <f>SUM(I32:L32)</f>
        <v>0</v>
      </c>
    </row>
    <row r="33" spans="1:18" ht="15" thickBot="1" x14ac:dyDescent="0.35">
      <c r="A33" s="14">
        <v>70802060503</v>
      </c>
      <c r="B33" s="15"/>
      <c r="C33" s="16"/>
      <c r="D33" s="17"/>
      <c r="E33" s="16"/>
      <c r="F33" s="16"/>
      <c r="G33" s="54">
        <f>SUM(B33:F33)</f>
        <v>0</v>
      </c>
      <c r="H33" s="18"/>
      <c r="I33" s="19"/>
      <c r="J33" s="19"/>
      <c r="K33" s="20"/>
      <c r="L33" s="20"/>
      <c r="M33" s="15"/>
      <c r="N33" s="15"/>
      <c r="O33" s="42">
        <v>1</v>
      </c>
      <c r="P33" s="15"/>
      <c r="Q33">
        <f>SUM(B33:P33)</f>
        <v>1</v>
      </c>
      <c r="R33" s="9">
        <f>SUM(I33:L33)</f>
        <v>0</v>
      </c>
    </row>
    <row r="34" spans="1:18" ht="15" thickBot="1" x14ac:dyDescent="0.35">
      <c r="A34" s="21">
        <v>70801010302</v>
      </c>
      <c r="B34" s="22"/>
      <c r="C34" s="23"/>
      <c r="D34" s="22"/>
      <c r="E34" s="22"/>
      <c r="F34" s="23"/>
      <c r="G34" s="54">
        <f>SUM(B34:F34)</f>
        <v>0</v>
      </c>
      <c r="H34" s="25"/>
      <c r="I34" s="26"/>
      <c r="J34" s="26"/>
      <c r="K34" s="27"/>
      <c r="L34" s="27"/>
      <c r="M34" s="22"/>
      <c r="N34" s="22"/>
      <c r="O34" s="22"/>
      <c r="P34" s="22"/>
      <c r="Q34">
        <f>SUM(B34:P34)</f>
        <v>0</v>
      </c>
      <c r="R34" s="9">
        <f>SUM(I34:L34)</f>
        <v>0</v>
      </c>
    </row>
    <row r="35" spans="1:18" ht="15.6" thickTop="1" thickBot="1" x14ac:dyDescent="0.35">
      <c r="A35" s="28">
        <v>70801030409</v>
      </c>
      <c r="B35" s="29"/>
      <c r="C35" s="30"/>
      <c r="D35" s="31"/>
      <c r="E35" s="30"/>
      <c r="F35" s="30"/>
      <c r="G35" s="54">
        <f>SUM(B35:F35)</f>
        <v>0</v>
      </c>
      <c r="H35" s="32"/>
      <c r="I35" s="33"/>
      <c r="J35" s="33"/>
      <c r="K35" s="34"/>
      <c r="L35" s="34"/>
      <c r="M35" s="29"/>
      <c r="N35" s="29"/>
      <c r="O35" s="29"/>
      <c r="P35" s="35"/>
      <c r="Q35">
        <f>SUM(B35:P35)</f>
        <v>0</v>
      </c>
      <c r="R35" s="9">
        <f>SUM(I35:L35)</f>
        <v>0</v>
      </c>
    </row>
    <row r="36" spans="1:18" ht="15.6" thickTop="1" thickBot="1" x14ac:dyDescent="0.35">
      <c r="A36" s="14">
        <v>70802060803</v>
      </c>
      <c r="B36" s="15"/>
      <c r="C36" s="16"/>
      <c r="D36" s="17"/>
      <c r="E36" s="16"/>
      <c r="F36" s="16"/>
      <c r="G36" s="54">
        <f>SUM(B36:F36)</f>
        <v>0</v>
      </c>
      <c r="H36" s="18"/>
      <c r="I36" s="19"/>
      <c r="J36" s="19"/>
      <c r="K36" s="20"/>
      <c r="L36" s="20"/>
      <c r="M36" s="15"/>
      <c r="N36" s="15"/>
      <c r="O36" s="15"/>
      <c r="P36" s="36"/>
      <c r="Q36">
        <f>SUM(B36:P36)</f>
        <v>0</v>
      </c>
      <c r="R36" s="9">
        <f>SUM(I36:L36)</f>
        <v>0</v>
      </c>
    </row>
    <row r="37" spans="1:18" ht="15" thickBot="1" x14ac:dyDescent="0.35">
      <c r="A37" s="21">
        <v>70801010405</v>
      </c>
      <c r="B37" s="22"/>
      <c r="C37" s="23"/>
      <c r="D37" s="24"/>
      <c r="E37" s="23"/>
      <c r="F37" s="23"/>
      <c r="G37" s="54">
        <f>SUM(B37:F37)</f>
        <v>0</v>
      </c>
      <c r="H37" s="25"/>
      <c r="I37" s="26"/>
      <c r="J37" s="26"/>
      <c r="K37" s="27"/>
      <c r="L37" s="27"/>
      <c r="M37" s="22"/>
      <c r="N37" s="22"/>
      <c r="O37" s="22"/>
      <c r="P37" s="29"/>
      <c r="Q37">
        <f>SUM(B37:P37)</f>
        <v>0</v>
      </c>
      <c r="R37" s="9">
        <f>SUM(I37:L37)</f>
        <v>0</v>
      </c>
    </row>
    <row r="38" spans="1:18" ht="15.6" thickTop="1" thickBot="1" x14ac:dyDescent="0.35">
      <c r="A38" s="28">
        <v>70801010603</v>
      </c>
      <c r="B38" s="29"/>
      <c r="C38" s="30"/>
      <c r="D38" s="31"/>
      <c r="E38" s="29"/>
      <c r="F38" s="30"/>
      <c r="G38" s="54">
        <f>SUM(B38:F38)</f>
        <v>0</v>
      </c>
      <c r="H38" s="32"/>
      <c r="I38" s="33"/>
      <c r="J38" s="33"/>
      <c r="K38" s="34"/>
      <c r="L38" s="34"/>
      <c r="M38" s="29"/>
      <c r="N38" s="29"/>
      <c r="O38" s="29"/>
      <c r="P38" s="35"/>
      <c r="Q38">
        <f>SUM(B38:P38)</f>
        <v>0</v>
      </c>
      <c r="R38" s="9">
        <f>SUM(I38:L38)</f>
        <v>0</v>
      </c>
    </row>
    <row r="39" spans="1:18" ht="15.6" thickTop="1" thickBot="1" x14ac:dyDescent="0.35">
      <c r="A39" s="28">
        <v>70801010604</v>
      </c>
      <c r="B39" s="29"/>
      <c r="C39" s="30"/>
      <c r="D39" s="31"/>
      <c r="E39" s="29"/>
      <c r="F39" s="30"/>
      <c r="G39" s="54">
        <f>SUM(B39:F39)</f>
        <v>0</v>
      </c>
      <c r="H39" s="32"/>
      <c r="I39" s="33"/>
      <c r="J39" s="33"/>
      <c r="K39" s="34"/>
      <c r="L39" s="34"/>
      <c r="M39" s="29"/>
      <c r="N39" s="29"/>
      <c r="O39" s="29"/>
      <c r="P39" s="35"/>
      <c r="Q39">
        <f>SUM(B39:P39)</f>
        <v>0</v>
      </c>
      <c r="R39" s="9">
        <f>SUM(I39:L39)</f>
        <v>0</v>
      </c>
    </row>
    <row r="40" spans="1:18" ht="15.6" thickTop="1" thickBot="1" x14ac:dyDescent="0.35">
      <c r="A40" s="28">
        <v>70802060804</v>
      </c>
      <c r="B40" s="29"/>
      <c r="C40" s="30"/>
      <c r="D40" s="31"/>
      <c r="E40" s="30"/>
      <c r="F40" s="30"/>
      <c r="G40" s="54">
        <f>SUM(B40:F40)</f>
        <v>0</v>
      </c>
      <c r="H40" s="32"/>
      <c r="I40" s="33"/>
      <c r="J40" s="33"/>
      <c r="K40" s="34"/>
      <c r="L40" s="34"/>
      <c r="M40" s="29"/>
      <c r="N40" s="29"/>
      <c r="O40" s="29"/>
      <c r="P40" s="35"/>
      <c r="Q40">
        <f>SUM(B40:P40)</f>
        <v>0</v>
      </c>
      <c r="R40" s="9">
        <f>SUM(I40:L40)</f>
        <v>0</v>
      </c>
    </row>
    <row r="41" spans="1:18" ht="15.6" thickTop="1" thickBot="1" x14ac:dyDescent="0.35">
      <c r="A41" s="28">
        <v>70802060805</v>
      </c>
      <c r="B41" s="29"/>
      <c r="C41" s="29"/>
      <c r="D41" s="31"/>
      <c r="E41" s="29"/>
      <c r="F41" s="30"/>
      <c r="G41" s="54">
        <f>SUM(B41:F41)</f>
        <v>0</v>
      </c>
      <c r="H41" s="32"/>
      <c r="I41" s="33"/>
      <c r="J41" s="33"/>
      <c r="K41" s="34"/>
      <c r="L41" s="34"/>
      <c r="M41" s="29"/>
      <c r="N41" s="29"/>
      <c r="O41" s="29"/>
      <c r="P41" s="35"/>
      <c r="Q41">
        <f>SUM(B41:P41)</f>
        <v>0</v>
      </c>
      <c r="R41" s="9">
        <f>SUM(I41:L41)</f>
        <v>0</v>
      </c>
    </row>
    <row r="42" spans="1:18" ht="15.6" thickTop="1" thickBot="1" x14ac:dyDescent="0.35">
      <c r="A42" s="28">
        <v>70801030606</v>
      </c>
      <c r="B42" s="29"/>
      <c r="C42" s="30"/>
      <c r="D42" s="31"/>
      <c r="E42" s="30"/>
      <c r="F42" s="30"/>
      <c r="G42" s="54">
        <f>SUM(B42:F42)</f>
        <v>0</v>
      </c>
      <c r="H42" s="32"/>
      <c r="I42" s="33"/>
      <c r="J42" s="33"/>
      <c r="K42" s="34"/>
      <c r="L42" s="34"/>
      <c r="M42" s="29"/>
      <c r="N42" s="29"/>
      <c r="O42" s="29"/>
      <c r="P42" s="35"/>
      <c r="Q42">
        <f>SUM(B42:P42)</f>
        <v>0</v>
      </c>
      <c r="R42" s="9">
        <f>SUM(I42:L42)</f>
        <v>0</v>
      </c>
    </row>
    <row r="43" spans="1:18" ht="15.6" thickTop="1" thickBot="1" x14ac:dyDescent="0.35">
      <c r="A43" s="28">
        <v>70802060406</v>
      </c>
      <c r="B43" s="29"/>
      <c r="C43" s="30"/>
      <c r="D43" s="31"/>
      <c r="E43" s="30"/>
      <c r="F43" s="30"/>
      <c r="G43" s="54">
        <f>SUM(B43:F43)</f>
        <v>0</v>
      </c>
      <c r="H43" s="32"/>
      <c r="I43" s="33"/>
      <c r="J43" s="33"/>
      <c r="K43" s="34"/>
      <c r="L43" s="34"/>
      <c r="M43" s="29"/>
      <c r="N43" s="29"/>
      <c r="O43" s="29"/>
      <c r="P43" s="35"/>
      <c r="Q43">
        <f>SUM(B43:P43)</f>
        <v>0</v>
      </c>
      <c r="R43" s="9">
        <f>SUM(I43:L43)</f>
        <v>0</v>
      </c>
    </row>
    <row r="44" spans="1:18" ht="15.6" thickTop="1" thickBot="1" x14ac:dyDescent="0.35">
      <c r="A44" s="28">
        <v>70801010605</v>
      </c>
      <c r="B44" s="29"/>
      <c r="C44" s="30"/>
      <c r="D44" s="31"/>
      <c r="E44" s="29"/>
      <c r="F44" s="30"/>
      <c r="G44" s="54">
        <f>SUM(B44:F44)</f>
        <v>0</v>
      </c>
      <c r="H44" s="32"/>
      <c r="I44" s="33"/>
      <c r="J44" s="33"/>
      <c r="K44" s="34"/>
      <c r="L44" s="34"/>
      <c r="M44" s="29"/>
      <c r="N44" s="29"/>
      <c r="O44" s="29"/>
      <c r="P44" s="35"/>
      <c r="Q44">
        <f>SUM(B44:P44)</f>
        <v>0</v>
      </c>
      <c r="R44" s="9">
        <f>SUM(I44:L44)</f>
        <v>0</v>
      </c>
    </row>
    <row r="45" spans="1:18" ht="15.6" thickTop="1" thickBot="1" x14ac:dyDescent="0.35">
      <c r="A45" s="28">
        <v>70802060301</v>
      </c>
      <c r="B45" s="29"/>
      <c r="C45" s="30"/>
      <c r="D45" s="31"/>
      <c r="E45" s="30"/>
      <c r="F45" s="30"/>
      <c r="G45" s="54">
        <f>SUM(B45:F45)</f>
        <v>0</v>
      </c>
      <c r="H45" s="32"/>
      <c r="I45" s="33"/>
      <c r="J45" s="33"/>
      <c r="K45" s="34"/>
      <c r="L45" s="34"/>
      <c r="M45" s="29"/>
      <c r="N45" s="29"/>
      <c r="O45" s="29"/>
      <c r="P45" s="35"/>
      <c r="Q45">
        <f>SUM(B45:P45)</f>
        <v>0</v>
      </c>
      <c r="R45" s="9">
        <f>SUM(I45:L45)</f>
        <v>0</v>
      </c>
    </row>
    <row r="46" spans="1:18" ht="15.6" thickTop="1" thickBot="1" x14ac:dyDescent="0.35">
      <c r="A46" s="14">
        <v>70801030202</v>
      </c>
      <c r="B46" s="36"/>
      <c r="C46" s="37"/>
      <c r="D46" s="38"/>
      <c r="E46" s="37"/>
      <c r="F46" s="37"/>
      <c r="G46" s="54">
        <f>SUM(B46:F46)</f>
        <v>0</v>
      </c>
      <c r="H46" s="18"/>
      <c r="I46" s="41"/>
      <c r="J46" s="41"/>
      <c r="K46" s="40"/>
      <c r="L46" s="40"/>
      <c r="M46" s="36"/>
      <c r="N46" s="36"/>
      <c r="O46" s="36"/>
      <c r="P46" s="36"/>
      <c r="Q46">
        <f>SUM(B46:P46)</f>
        <v>0</v>
      </c>
      <c r="R46" s="9">
        <f>SUM(I46:L46)</f>
        <v>0</v>
      </c>
    </row>
    <row r="47" spans="1:18" ht="15" thickBot="1" x14ac:dyDescent="0.35">
      <c r="A47" s="14">
        <v>70801030203</v>
      </c>
      <c r="B47" s="15"/>
      <c r="C47" s="15"/>
      <c r="D47" s="15"/>
      <c r="E47" s="15"/>
      <c r="F47" s="16"/>
      <c r="G47" s="54">
        <f>SUM(B47:F47)</f>
        <v>0</v>
      </c>
      <c r="H47" s="15"/>
      <c r="I47" s="15"/>
      <c r="J47" s="15"/>
      <c r="K47" s="15"/>
      <c r="L47" s="15"/>
      <c r="M47" s="15"/>
      <c r="N47" s="15"/>
      <c r="O47" s="15"/>
      <c r="P47" s="15"/>
      <c r="Q47">
        <f>SUM(B47:P47)</f>
        <v>0</v>
      </c>
      <c r="R47" s="9">
        <f>SUM(I47:L47)</f>
        <v>0</v>
      </c>
    </row>
    <row r="48" spans="1:18" ht="15" thickBot="1" x14ac:dyDescent="0.35">
      <c r="A48" s="14">
        <v>70801030602</v>
      </c>
      <c r="B48" s="15"/>
      <c r="C48" s="16"/>
      <c r="D48" s="17"/>
      <c r="E48" s="16"/>
      <c r="F48" s="16"/>
      <c r="G48" s="54">
        <f>SUM(B48:F48)</f>
        <v>0</v>
      </c>
      <c r="H48" s="18"/>
      <c r="I48" s="19"/>
      <c r="J48" s="19"/>
      <c r="K48" s="20"/>
      <c r="L48" s="20"/>
      <c r="M48" s="15"/>
      <c r="N48" s="15"/>
      <c r="O48" s="15"/>
      <c r="P48" s="15"/>
      <c r="Q48">
        <f>SUM(B48:P48)</f>
        <v>0</v>
      </c>
      <c r="R48" s="9">
        <f>SUM(I48:L48)</f>
        <v>0</v>
      </c>
    </row>
    <row r="49" spans="1:18" ht="15" thickBot="1" x14ac:dyDescent="0.35">
      <c r="A49" s="14">
        <v>70801030604</v>
      </c>
      <c r="B49" s="15"/>
      <c r="C49" s="15"/>
      <c r="D49" s="17"/>
      <c r="E49" s="15"/>
      <c r="F49" s="16"/>
      <c r="G49" s="54">
        <f>SUM(B49:F49)</f>
        <v>0</v>
      </c>
      <c r="H49" s="18"/>
      <c r="I49" s="19"/>
      <c r="J49" s="19"/>
      <c r="K49" s="20"/>
      <c r="L49" s="20"/>
      <c r="M49" s="15"/>
      <c r="N49" s="15"/>
      <c r="O49" s="15"/>
      <c r="P49" s="15"/>
      <c r="Q49">
        <f>SUM(B49:P49)</f>
        <v>0</v>
      </c>
      <c r="R49" s="9">
        <f>SUM(I49:L49)</f>
        <v>0</v>
      </c>
    </row>
  </sheetData>
  <sortState ref="A2:R51">
    <sortCondition descending="1" ref="R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sqref="A1:F18"/>
    </sheetView>
  </sheetViews>
  <sheetFormatPr defaultRowHeight="14.4" x14ac:dyDescent="0.3"/>
  <cols>
    <col min="1" max="1" width="12" bestFit="1" customWidth="1"/>
  </cols>
  <sheetData>
    <row r="1" spans="1:6" ht="15" thickBot="1" x14ac:dyDescent="0.35">
      <c r="A1" s="10" t="s">
        <v>25</v>
      </c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</row>
    <row r="2" spans="1:6" ht="15" thickBot="1" x14ac:dyDescent="0.35">
      <c r="A2" s="11">
        <v>70801010602</v>
      </c>
      <c r="B2" s="12"/>
      <c r="C2" s="13"/>
      <c r="D2" s="53">
        <v>1</v>
      </c>
      <c r="E2" s="13"/>
      <c r="F2" s="13"/>
    </row>
    <row r="3" spans="1:6" ht="15" thickBot="1" x14ac:dyDescent="0.35">
      <c r="A3" s="67">
        <v>70801030301</v>
      </c>
      <c r="B3" s="68">
        <v>1</v>
      </c>
      <c r="C3" s="73"/>
      <c r="D3" s="93" t="s">
        <v>24</v>
      </c>
      <c r="E3" s="68">
        <v>1</v>
      </c>
      <c r="F3" s="68">
        <v>1</v>
      </c>
    </row>
    <row r="4" spans="1:6" ht="15.6" thickTop="1" thickBot="1" x14ac:dyDescent="0.35">
      <c r="A4" s="76">
        <v>70801030303</v>
      </c>
      <c r="B4" s="77">
        <v>1</v>
      </c>
      <c r="C4" s="90">
        <v>1</v>
      </c>
      <c r="D4" s="91"/>
      <c r="E4" s="77">
        <v>1</v>
      </c>
      <c r="F4" s="77">
        <v>1</v>
      </c>
    </row>
    <row r="5" spans="1:6" ht="15.6" thickTop="1" thickBot="1" x14ac:dyDescent="0.35">
      <c r="A5" s="14">
        <v>70801030401</v>
      </c>
      <c r="B5" s="15"/>
      <c r="C5" s="16"/>
      <c r="D5" s="48">
        <v>1</v>
      </c>
      <c r="E5" s="45">
        <v>1</v>
      </c>
      <c r="F5" s="45">
        <v>1</v>
      </c>
    </row>
    <row r="6" spans="1:6" ht="15" thickBot="1" x14ac:dyDescent="0.35">
      <c r="A6" s="14">
        <v>70801030405</v>
      </c>
      <c r="B6" s="12"/>
      <c r="C6" s="13"/>
      <c r="D6" s="48">
        <v>1</v>
      </c>
      <c r="E6" s="13"/>
      <c r="F6" s="13"/>
    </row>
    <row r="7" spans="1:6" ht="15" thickBot="1" x14ac:dyDescent="0.35">
      <c r="A7" s="14">
        <v>70801030406</v>
      </c>
      <c r="B7" s="51">
        <v>1</v>
      </c>
      <c r="C7" s="51">
        <v>1</v>
      </c>
      <c r="D7" s="51">
        <v>1</v>
      </c>
      <c r="E7" s="51">
        <v>1</v>
      </c>
      <c r="F7" s="51">
        <v>1</v>
      </c>
    </row>
    <row r="8" spans="1:6" ht="15" thickBot="1" x14ac:dyDescent="0.35">
      <c r="A8" s="21">
        <v>70801030407</v>
      </c>
      <c r="B8" s="51">
        <v>1</v>
      </c>
      <c r="C8" s="43">
        <v>1</v>
      </c>
      <c r="D8" s="43">
        <v>1</v>
      </c>
      <c r="E8" s="51">
        <v>1</v>
      </c>
      <c r="F8" s="51">
        <v>1</v>
      </c>
    </row>
    <row r="9" spans="1:6" ht="15.6" thickTop="1" thickBot="1" x14ac:dyDescent="0.35">
      <c r="A9" s="28">
        <v>70801030408</v>
      </c>
      <c r="B9" s="29"/>
      <c r="C9" s="30"/>
      <c r="D9" s="44">
        <v>1</v>
      </c>
      <c r="E9" s="30"/>
      <c r="F9" s="30"/>
    </row>
    <row r="10" spans="1:6" ht="15.6" thickTop="1" thickBot="1" x14ac:dyDescent="0.35">
      <c r="A10" s="14">
        <v>70801030603</v>
      </c>
      <c r="B10" s="51">
        <v>1</v>
      </c>
      <c r="C10" s="13"/>
      <c r="D10" s="17"/>
      <c r="E10" s="13"/>
      <c r="F10" s="13"/>
    </row>
    <row r="11" spans="1:6" ht="15" thickBot="1" x14ac:dyDescent="0.35">
      <c r="A11" s="14">
        <v>70802060302</v>
      </c>
      <c r="B11" s="15"/>
      <c r="C11" s="45">
        <v>1</v>
      </c>
      <c r="D11" s="17"/>
      <c r="E11" s="16"/>
      <c r="F11" s="16"/>
    </row>
    <row r="12" spans="1:6" ht="15" thickBot="1" x14ac:dyDescent="0.35">
      <c r="A12" s="67">
        <v>70802060501</v>
      </c>
      <c r="B12" s="68">
        <v>1</v>
      </c>
      <c r="C12" s="68">
        <v>1</v>
      </c>
      <c r="D12" s="94"/>
      <c r="E12" s="68">
        <v>1</v>
      </c>
      <c r="F12" s="68">
        <v>1</v>
      </c>
    </row>
    <row r="13" spans="1:6" ht="15.6" thickTop="1" thickBot="1" x14ac:dyDescent="0.35">
      <c r="A13" s="76">
        <v>70802060502</v>
      </c>
      <c r="B13" s="77">
        <v>1</v>
      </c>
      <c r="C13" s="77">
        <v>1</v>
      </c>
      <c r="D13" s="91"/>
      <c r="E13" s="77">
        <v>1</v>
      </c>
      <c r="F13" s="77">
        <v>1</v>
      </c>
    </row>
    <row r="14" spans="1:6" ht="15.6" thickTop="1" thickBot="1" x14ac:dyDescent="0.35">
      <c r="A14" s="76">
        <v>70802060601</v>
      </c>
      <c r="B14" s="77">
        <v>1</v>
      </c>
      <c r="C14" s="77">
        <v>1</v>
      </c>
      <c r="D14" s="77">
        <v>1</v>
      </c>
      <c r="E14" s="77">
        <v>1</v>
      </c>
      <c r="F14" s="77">
        <v>1</v>
      </c>
    </row>
    <row r="15" spans="1:6" ht="15.6" thickTop="1" thickBot="1" x14ac:dyDescent="0.35">
      <c r="A15" s="86">
        <v>70802060602</v>
      </c>
      <c r="B15" s="92">
        <v>1</v>
      </c>
      <c r="C15" s="92">
        <v>1</v>
      </c>
      <c r="D15" s="92">
        <v>1</v>
      </c>
      <c r="E15" s="92">
        <v>1</v>
      </c>
      <c r="F15" s="92">
        <v>1</v>
      </c>
    </row>
    <row r="16" spans="1:6" ht="15.6" thickTop="1" thickBot="1" x14ac:dyDescent="0.35">
      <c r="A16" s="76">
        <v>70802060603</v>
      </c>
      <c r="B16" s="77">
        <v>1</v>
      </c>
      <c r="C16" s="77">
        <v>1</v>
      </c>
      <c r="D16" s="91"/>
      <c r="E16" s="77">
        <v>1</v>
      </c>
      <c r="F16" s="77">
        <v>1</v>
      </c>
    </row>
    <row r="17" spans="1:6" ht="15.6" thickTop="1" thickBot="1" x14ac:dyDescent="0.35">
      <c r="A17" s="28">
        <v>70802060704</v>
      </c>
      <c r="B17" s="29"/>
      <c r="C17" s="47">
        <v>1</v>
      </c>
      <c r="D17" s="50">
        <v>1</v>
      </c>
      <c r="E17" s="30"/>
      <c r="F17" s="30"/>
    </row>
    <row r="18" spans="1:6" ht="15.6" thickTop="1" thickBot="1" x14ac:dyDescent="0.35">
      <c r="A18" s="28">
        <v>70802060802</v>
      </c>
      <c r="B18" s="22"/>
      <c r="C18" s="23"/>
      <c r="D18" s="43">
        <v>1</v>
      </c>
      <c r="E18" s="23"/>
      <c r="F18" s="23"/>
    </row>
    <row r="19" spans="1:6" ht="15" thickTop="1" x14ac:dyDescent="0.3"/>
  </sheetData>
  <sortState ref="A2:F19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practHUC12_CostSumBIOno3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Stephenson, Jessica A</dc:creator>
  <cp:lastModifiedBy>Stephenson, Jessica A</cp:lastModifiedBy>
  <dcterms:created xsi:type="dcterms:W3CDTF">2026-01-23T21:47:47Z</dcterms:created>
  <dcterms:modified xsi:type="dcterms:W3CDTF">2026-01-23T21:47:47Z</dcterms:modified>
</cp:coreProperties>
</file>